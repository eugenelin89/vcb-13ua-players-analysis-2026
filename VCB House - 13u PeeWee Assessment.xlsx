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hodgenielsen/Desktop/"/>
    </mc:Choice>
  </mc:AlternateContent>
  <xr:revisionPtr revIDLastSave="0" documentId="8_{69A63491-1957-324A-BE3E-61BB37E05E48}" xr6:coauthVersionLast="47" xr6:coauthVersionMax="47" xr10:uidLastSave="{00000000-0000-0000-0000-000000000000}"/>
  <bookViews>
    <workbookView xWindow="1180" yWindow="1440" windowWidth="23240" windowHeight="14480" xr2:uid="{2DAA871C-7B0E-CE48-973E-DAF63E409D5C}"/>
  </bookViews>
  <sheets>
    <sheet name="Ranking " sheetId="4" r:id="rId1"/>
    <sheet name="Pitcher Ranking " sheetId="6" r:id="rId2"/>
    <sheet name="Assessment Data" sheetId="5" r:id="rId3"/>
    <sheet name="Pitching Data 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6" l="1"/>
  <c r="D75" i="6"/>
  <c r="D62" i="6"/>
  <c r="D61" i="6"/>
  <c r="D6" i="6"/>
  <c r="D45" i="6"/>
  <c r="D71" i="6"/>
  <c r="D9" i="6"/>
  <c r="D70" i="6"/>
  <c r="D16" i="6"/>
  <c r="D60" i="6"/>
  <c r="D59" i="6"/>
  <c r="D58" i="6"/>
  <c r="D57" i="6"/>
  <c r="D32" i="6"/>
  <c r="D31" i="6"/>
  <c r="D44" i="6"/>
  <c r="D11" i="6"/>
  <c r="D69" i="6"/>
  <c r="D5" i="6"/>
  <c r="D15" i="6"/>
  <c r="D30" i="6"/>
  <c r="D29" i="6"/>
  <c r="D43" i="6"/>
  <c r="D68" i="6"/>
  <c r="D42" i="6"/>
  <c r="D67" i="6"/>
  <c r="D74" i="6"/>
  <c r="D23" i="6"/>
  <c r="D72" i="6"/>
  <c r="D14" i="6"/>
  <c r="D66" i="6"/>
  <c r="D41" i="6"/>
  <c r="D13" i="6"/>
  <c r="D28" i="6"/>
  <c r="D22" i="6"/>
  <c r="D40" i="6"/>
  <c r="D21" i="6"/>
  <c r="D65" i="6"/>
  <c r="D20" i="6"/>
  <c r="D51" i="6"/>
  <c r="D8" i="6"/>
  <c r="D39" i="6"/>
  <c r="D19" i="6"/>
  <c r="D38" i="6"/>
  <c r="D7" i="6"/>
  <c r="D37" i="6"/>
  <c r="D63" i="6"/>
  <c r="D50" i="6"/>
  <c r="D56" i="6"/>
  <c r="D49" i="6"/>
  <c r="D36" i="6"/>
  <c r="D35" i="6"/>
  <c r="D48" i="6"/>
  <c r="D55" i="6"/>
  <c r="D18" i="6"/>
  <c r="D10" i="6"/>
  <c r="D27" i="6"/>
  <c r="D34" i="6"/>
  <c r="D4" i="6"/>
  <c r="D54" i="6"/>
  <c r="D73" i="6"/>
  <c r="D12" i="6"/>
  <c r="D53" i="6"/>
  <c r="D17" i="6"/>
  <c r="D26" i="6"/>
  <c r="D25" i="6"/>
  <c r="D24" i="6"/>
  <c r="D3" i="6"/>
  <c r="D52" i="6"/>
  <c r="D47" i="6"/>
  <c r="D33" i="6"/>
  <c r="D64" i="6"/>
</calcChain>
</file>

<file path=xl/sharedStrings.xml><?xml version="1.0" encoding="utf-8"?>
<sst xmlns="http://schemas.openxmlformats.org/spreadsheetml/2006/main" count="1254" uniqueCount="142">
  <si>
    <t xml:space="preserve">Home to 1st </t>
  </si>
  <si>
    <t xml:space="preserve">Lateral Jump </t>
  </si>
  <si>
    <t xml:space="preserve">Bat Speed </t>
  </si>
  <si>
    <t xml:space="preserve">Time 2 Contact </t>
  </si>
  <si>
    <t>Exit Velocity Avg.</t>
  </si>
  <si>
    <t>Exit Velocity Max</t>
  </si>
  <si>
    <t xml:space="preserve">Athletic Stance </t>
  </si>
  <si>
    <t xml:space="preserve">Balance Stride </t>
  </si>
  <si>
    <t xml:space="preserve">Barrel Level </t>
  </si>
  <si>
    <t xml:space="preserve">Launch Position </t>
  </si>
  <si>
    <t xml:space="preserve">Follow Through </t>
  </si>
  <si>
    <t>Readiness</t>
  </si>
  <si>
    <t xml:space="preserve">Footwork </t>
  </si>
  <si>
    <t xml:space="preserve">Glovework </t>
  </si>
  <si>
    <t xml:space="preserve">Athleticism </t>
  </si>
  <si>
    <t xml:space="preserve">Fundamental Throwing </t>
  </si>
  <si>
    <t xml:space="preserve">Velocity Avg. </t>
  </si>
  <si>
    <t xml:space="preserve">Velocity Max </t>
  </si>
  <si>
    <t>Pitch 1</t>
  </si>
  <si>
    <t xml:space="preserve">Pitch 2 </t>
  </si>
  <si>
    <t xml:space="preserve">Pitch 3 </t>
  </si>
  <si>
    <t>Pitch 4</t>
  </si>
  <si>
    <t xml:space="preserve">Athletic Movement </t>
  </si>
  <si>
    <t xml:space="preserve">Body Control </t>
  </si>
  <si>
    <t xml:space="preserve">Direction </t>
  </si>
  <si>
    <t>Repeatability</t>
  </si>
  <si>
    <t>FB</t>
  </si>
  <si>
    <t>2-FB</t>
  </si>
  <si>
    <t>CB</t>
  </si>
  <si>
    <t>CH</t>
  </si>
  <si>
    <t>CB *</t>
  </si>
  <si>
    <t>SL</t>
  </si>
  <si>
    <t>FB *</t>
  </si>
  <si>
    <t>Knuckle ?</t>
  </si>
  <si>
    <t xml:space="preserve">2 S - FB </t>
  </si>
  <si>
    <t>SPL</t>
  </si>
  <si>
    <t>CU</t>
  </si>
  <si>
    <t>SB</t>
  </si>
  <si>
    <t>Dylan Armstrong</t>
  </si>
  <si>
    <t>Arek Aubuchon</t>
  </si>
  <si>
    <t>Basim Azou</t>
  </si>
  <si>
    <t>Dylan Bansback</t>
  </si>
  <si>
    <t>Dylan Bobko</t>
  </si>
  <si>
    <t>Henry Brown</t>
  </si>
  <si>
    <t>Ashton Chang</t>
  </si>
  <si>
    <t>Philip Dawe</t>
  </si>
  <si>
    <t>Gray Dickson</t>
  </si>
  <si>
    <t>Ari Edgar</t>
  </si>
  <si>
    <t>Tristan Edmunds</t>
  </si>
  <si>
    <t>Ryder Everingham</t>
  </si>
  <si>
    <t>Liam Fagan</t>
  </si>
  <si>
    <t>Hudson Farrar</t>
  </si>
  <si>
    <t>George Morris</t>
  </si>
  <si>
    <t>Easton Ferris</t>
  </si>
  <si>
    <t>Kyle Foster</t>
  </si>
  <si>
    <t>Henry Galer</t>
  </si>
  <si>
    <t>Felix Gladstone</t>
  </si>
  <si>
    <t>Ethan Grange</t>
  </si>
  <si>
    <t>Hayden Gudewill</t>
  </si>
  <si>
    <t>Caleb Huh</t>
  </si>
  <si>
    <t>Davis Hunt</t>
  </si>
  <si>
    <t>Stefan Jerinic</t>
  </si>
  <si>
    <t>Emerick Johnson</t>
  </si>
  <si>
    <t>Charles Love</t>
  </si>
  <si>
    <t>Liam Pearce</t>
  </si>
  <si>
    <t>Hudson Archambault</t>
  </si>
  <si>
    <t>Carter Fong</t>
  </si>
  <si>
    <t>Milan Avinashi</t>
  </si>
  <si>
    <t>Jonathan Bick</t>
  </si>
  <si>
    <t>Aaron Franken</t>
  </si>
  <si>
    <t>Armann Freimanis</t>
  </si>
  <si>
    <t>Donovan Hayes</t>
  </si>
  <si>
    <t>Oran Lavigne</t>
  </si>
  <si>
    <t>Peyton Lee</t>
  </si>
  <si>
    <t>Gyuin Lee</t>
  </si>
  <si>
    <t>Oliver Lewis</t>
  </si>
  <si>
    <t>Andrew Macmillan</t>
  </si>
  <si>
    <t>Mylo McLaughlin</t>
  </si>
  <si>
    <t>Ari McLaughlin</t>
  </si>
  <si>
    <t>Quinn McLelan</t>
  </si>
  <si>
    <t>Robbie McMynn</t>
  </si>
  <si>
    <t>Hank Miller</t>
  </si>
  <si>
    <t>Levi Milnes</t>
  </si>
  <si>
    <t>Andre Morin</t>
  </si>
  <si>
    <t>Michelle Morrison</t>
  </si>
  <si>
    <t>Logan Ng</t>
  </si>
  <si>
    <t>Brody Pendergast</t>
  </si>
  <si>
    <t>Nam Phan</t>
  </si>
  <si>
    <t>Reegan Plummer</t>
  </si>
  <si>
    <t>Jack Cheyne</t>
  </si>
  <si>
    <t>Sean Choi</t>
  </si>
  <si>
    <t>Francis De la cruz</t>
  </si>
  <si>
    <t>Frederick "Freddy" Pragnell</t>
  </si>
  <si>
    <t>Douglas Ritchie</t>
  </si>
  <si>
    <t>Angus Rohee</t>
  </si>
  <si>
    <t>Reuben Samet</t>
  </si>
  <si>
    <t>Kian Sasani</t>
  </si>
  <si>
    <t>Bowie Scott</t>
  </si>
  <si>
    <t>Arun Soni</t>
  </si>
  <si>
    <t>Daxton Stutters</t>
  </si>
  <si>
    <t>Arlo Tourigny</t>
  </si>
  <si>
    <t>Felix Vandenenden</t>
  </si>
  <si>
    <t>Nolan Whitfield</t>
  </si>
  <si>
    <t>Sebastian Yang-Skirko</t>
  </si>
  <si>
    <t>Tristan Yang-Skirko</t>
  </si>
  <si>
    <t>River Yonge</t>
  </si>
  <si>
    <t>Sasha Zvijerac</t>
  </si>
  <si>
    <t>Matthew Mahead</t>
  </si>
  <si>
    <t>Elliott Cocke</t>
  </si>
  <si>
    <t xml:space="preserve">Luca Di Nozzi </t>
  </si>
  <si>
    <t>Orev Koblentz</t>
  </si>
  <si>
    <t>Bo Singerman</t>
  </si>
  <si>
    <t>Shael Singerman</t>
  </si>
  <si>
    <t xml:space="preserve">Liam  Redden </t>
  </si>
  <si>
    <t>Lawrance  Zhau</t>
  </si>
  <si>
    <t>Name</t>
  </si>
  <si>
    <t>Speed</t>
  </si>
  <si>
    <t xml:space="preserve">Power Ranking </t>
  </si>
  <si>
    <t xml:space="preserve">Total Athletic Ranking </t>
  </si>
  <si>
    <t xml:space="preserve">Hitting Subjective </t>
  </si>
  <si>
    <t xml:space="preserve">Hitting Objective </t>
  </si>
  <si>
    <t xml:space="preserve">Overall Hitting </t>
  </si>
  <si>
    <t xml:space="preserve">Fielding </t>
  </si>
  <si>
    <t xml:space="preserve">Throwing </t>
  </si>
  <si>
    <t>Speed Ranking</t>
  </si>
  <si>
    <t>Fielding Ranking</t>
  </si>
  <si>
    <t>Throwing Ranking</t>
  </si>
  <si>
    <t xml:space="preserve">Overall Ranking </t>
  </si>
  <si>
    <t>VCB House 13 U - PeeWee Assessment - Performance Scores</t>
  </si>
  <si>
    <t>Broad Jump</t>
  </si>
  <si>
    <t>Shotput</t>
  </si>
  <si>
    <t xml:space="preserve">Subjective Ranking </t>
  </si>
  <si>
    <t xml:space="preserve">FB (Velo &amp; Command) Ranking </t>
  </si>
  <si>
    <t>Command2</t>
  </si>
  <si>
    <t>Overall Athleticism Ranking</t>
  </si>
  <si>
    <t xml:space="preserve">Overall Hitting Ranking </t>
  </si>
  <si>
    <t xml:space="preserve">Pitching </t>
  </si>
  <si>
    <t>VCB House 13 U - PeeWee Assessment - Power Ranking by Skill</t>
  </si>
  <si>
    <t xml:space="preserve">Athleticism Evaluation </t>
  </si>
  <si>
    <t xml:space="preserve">Hitting Objective Evaluation </t>
  </si>
  <si>
    <t xml:space="preserve">Hitting Subjective Evaluation </t>
  </si>
  <si>
    <t xml:space="preserve">Fielding and Throwing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</si>
</sst>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8EA9DB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8EA9DB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/>
    <xf numFmtId="0" fontId="0" fillId="0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0" fillId="6" borderId="21" xfId="0" applyFont="1" applyFill="1" applyBorder="1" applyAlignment="1">
      <alignment horizontal="center" vertical="center"/>
    </xf>
    <xf numFmtId="0" fontId="0" fillId="6" borderId="17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0" fillId="7" borderId="12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3" xfId="0" applyFont="1" applyFill="1" applyBorder="1" applyAlignment="1">
      <alignment horizontal="center" vertical="center"/>
    </xf>
    <xf numFmtId="0" fontId="0" fillId="7" borderId="14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15" xfId="0" applyFont="1" applyFill="1" applyBorder="1" applyAlignment="1">
      <alignment horizontal="center" vertical="center"/>
    </xf>
    <xf numFmtId="0" fontId="0" fillId="7" borderId="16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2" xfId="0" applyFill="1" applyBorder="1" applyAlignment="1">
      <alignment horizontal="center"/>
    </xf>
  </cellXfs>
  <cellStyles count="1">
    <cellStyle name="Normal" xfId="0" builtinId="0"/>
  </cellStyles>
  <dxfs count="8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medium">
          <color indexed="64"/>
        </left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none"/>
      </font>
      <numFmt numFmtId="168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854B5E-EA79-5E49-9825-266560280D81}" name="Table6" displayName="Table6" ref="B4:K81" totalsRowShown="0" headerRowDxfId="1" dataDxfId="0">
  <autoFilter ref="B4:K81" xr:uid="{95854B5E-EA79-5E49-9825-266560280D81}"/>
  <sortState xmlns:xlrd2="http://schemas.microsoft.com/office/spreadsheetml/2017/richdata2" ref="B5:K81">
    <sortCondition ref="B4:B81"/>
  </sortState>
  <tableColumns count="10">
    <tableColumn id="1" xr3:uid="{DD8434DC-55D7-0B4E-B3F8-2E201E33D1CF}" name="Name" dataDxfId="11"/>
    <tableColumn id="2" xr3:uid="{3AEC1F81-B35C-1F46-AF42-39D203F5BBB8}" name="Speed Ranking" dataDxfId="10"/>
    <tableColumn id="3" xr3:uid="{5EDED5B8-2529-A447-AB2F-7974B9A1FACE}" name="Power Ranking " dataDxfId="9"/>
    <tableColumn id="4" xr3:uid="{46653D97-CAB6-C64F-8736-869FDFDCDB96}" name="Overall Athleticism Ranking" dataDxfId="8"/>
    <tableColumn id="5" xr3:uid="{6FE81530-5861-8B4B-A0DF-5C19626219F7}" name="Hitting Subjective " dataDxfId="7"/>
    <tableColumn id="6" xr3:uid="{1F28C067-9EDB-0447-8FFA-839BDF511A20}" name="Hitting Objective " dataDxfId="6"/>
    <tableColumn id="7" xr3:uid="{2A47A5C3-4B61-454D-A6B9-2B48EBDB1342}" name="Overall Hitting Ranking " dataDxfId="5"/>
    <tableColumn id="8" xr3:uid="{EF3D4A64-A730-FE46-A8D1-932EEBDC6DF9}" name="Fielding Ranking" dataDxfId="4"/>
    <tableColumn id="9" xr3:uid="{BBB839D3-6758-994A-BD78-64F9B02F5AFE}" name="Throwing Ranking" dataDxfId="3"/>
    <tableColumn id="10" xr3:uid="{D364780A-D0F0-F947-8C06-6952060090DE}" name="Overall Ranking 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0304AA-FCFE-C24F-978B-64F74CB965E6}" name="Table146" displayName="Table146" ref="A2:D76" totalsRowCount="1" headerRowDxfId="64" dataDxfId="63">
  <autoFilter ref="A2:D75" xr:uid="{6ADCBB98-EABD-4A41-BE16-218F4EB45252}"/>
  <sortState xmlns:xlrd2="http://schemas.microsoft.com/office/spreadsheetml/2017/richdata2" ref="A3:D75">
    <sortCondition descending="1" ref="D2:D75"/>
  </sortState>
  <tableColumns count="4">
    <tableColumn id="52" xr3:uid="{0D09DA60-B9AA-D149-B5BC-288FDEB4F2EC}" name="Name" dataDxfId="62" totalsRowDxfId="58"/>
    <tableColumn id="56" xr3:uid="{6589591F-571F-4A48-80F8-166710AB5495}" name="Subjective Ranking " dataDxfId="61"/>
    <tableColumn id="58" xr3:uid="{68EC1056-91F1-0E42-A599-5A1FEC4E06E4}" name="FB (Velo &amp; Command) Ranking " dataDxfId="60"/>
    <tableColumn id="59" xr3:uid="{32E0292A-9626-1543-8395-4B5E5502C4A7}" name="Overall Ranking " dataDxfId="59">
      <calculatedColumnFormula>((B3*60)+(C3*40))/100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3FC48F-6AB9-AA4D-A07B-4A6872A67B40}" name="Table135" displayName="Table135" ref="A2:S80" totalsRowCount="1" headerRowDxfId="86" dataDxfId="84" totalsRowDxfId="85">
  <autoFilter ref="A2:S79" xr:uid="{6ADCBB98-EABD-4A41-BE16-218F4EB45252}"/>
  <sortState xmlns:xlrd2="http://schemas.microsoft.com/office/spreadsheetml/2017/richdata2" ref="A3:S79">
    <sortCondition ref="A2:A79"/>
  </sortState>
  <tableColumns count="19">
    <tableColumn id="52" xr3:uid="{6E67654E-C6CE-0F40-A681-B8A931DBA63F}" name="Name" dataDxfId="83" totalsRowDxfId="30"/>
    <tableColumn id="9" xr3:uid="{50FB3E4E-328E-0C4F-BAA8-928E05ABF90A}" name="Home to 1st " dataDxfId="82" totalsRowDxfId="29"/>
    <tableColumn id="47" xr3:uid="{E1EF4D3A-8FA1-0542-ABCA-179145EE47C4}" name="Broad Jump" dataDxfId="81" totalsRowDxfId="28"/>
    <tableColumn id="48" xr3:uid="{A5AEBC9F-91AD-3841-A500-B5E44916F5D9}" name="Lateral Jump " dataDxfId="80" totalsRowDxfId="27"/>
    <tableColumn id="49" xr3:uid="{41F0F609-8298-E648-A775-B8334C4367FA}" name="Shotput" dataDxfId="79" totalsRowDxfId="26"/>
    <tableColumn id="14" xr3:uid="{F4200AC4-5839-EC41-AF29-9F8D47D0B386}" name="Bat Speed " dataDxfId="78" totalsRowDxfId="25"/>
    <tableColumn id="16" xr3:uid="{D57E8146-95FC-0C49-BEBC-B4CF767B0049}" name="Time 2 Contact " dataDxfId="77" totalsRowDxfId="24"/>
    <tableColumn id="17" xr3:uid="{9A3FCC62-F982-5D4E-BE1E-84A1FDE00E7F}" name="Exit Velocity Avg." dataDxfId="76" totalsRowDxfId="23"/>
    <tableColumn id="18" xr3:uid="{FB99EAB7-9986-CF42-987F-DC4E2D9E0332}" name="Exit Velocity Max" dataDxfId="75" totalsRowDxfId="22"/>
    <tableColumn id="20" xr3:uid="{BC7776DD-808C-F940-9112-DB7D977F96AC}" name="Athletic Stance " dataDxfId="74" totalsRowDxfId="21"/>
    <tableColumn id="21" xr3:uid="{44F5260F-0437-F14A-9805-5EA5B0D10152}" name="Balance Stride " dataDxfId="73" totalsRowDxfId="20"/>
    <tableColumn id="22" xr3:uid="{992B081D-E366-B34B-81FD-55577A262375}" name="Barrel Level " dataDxfId="72" totalsRowDxfId="19"/>
    <tableColumn id="23" xr3:uid="{CAAAC6C0-AB7D-DB49-912C-6FDE50E18B52}" name="Launch Position " dataDxfId="71" totalsRowDxfId="18"/>
    <tableColumn id="24" xr3:uid="{B7D790F5-65CD-7D43-A8B5-EA628B8EA594}" name="Follow Through " dataDxfId="70" totalsRowDxfId="17"/>
    <tableColumn id="26" xr3:uid="{C33B3D6B-B082-2042-AEF2-7F29AD64F7DC}" name="Readiness" dataDxfId="69" totalsRowDxfId="16"/>
    <tableColumn id="27" xr3:uid="{532C48E2-C386-BC4C-8FDE-644C98CC3E73}" name="Footwork " dataDxfId="68" totalsRowDxfId="15"/>
    <tableColumn id="28" xr3:uid="{915B03E6-DD7B-5444-95AE-2CF30F7A11C5}" name="Glovework " dataDxfId="67" totalsRowDxfId="14"/>
    <tableColumn id="29" xr3:uid="{A534D55D-2A3D-D64E-8726-CAF185101702}" name="Athleticism " dataDxfId="66" totalsRowDxfId="13"/>
    <tableColumn id="30" xr3:uid="{8BF541A4-9486-EE43-A6ED-EF0C6E868D9B}" name="Fundamental Throwing " dataDxfId="65" totalsRow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35B4AB-15B4-FD48-843D-641A1BE704FF}" name="Table14" displayName="Table14" ref="A2:L75" totalsRowShown="0" headerRowDxfId="44" dataDxfId="42" totalsRowDxfId="43">
  <autoFilter ref="A2:L75" xr:uid="{6ADCBB98-EABD-4A41-BE16-218F4EB45252}"/>
  <sortState xmlns:xlrd2="http://schemas.microsoft.com/office/spreadsheetml/2017/richdata2" ref="A3:K75">
    <sortCondition ref="A2:A75"/>
  </sortState>
  <tableColumns count="12">
    <tableColumn id="52" xr3:uid="{21B07CC4-4EEB-0745-9F1F-658C2B6B523A}" name="Name" dataDxfId="57" totalsRowDxfId="56"/>
    <tableColumn id="32" xr3:uid="{9D674253-9108-1A4A-A931-49EAB5F71FEB}" name="Velocity Avg. " dataDxfId="36" totalsRowDxfId="55"/>
    <tableColumn id="33" xr3:uid="{DF4B0A12-F0B8-9D46-97FB-45CA30698292}" name="Velocity Max " dataDxfId="35" totalsRowDxfId="54"/>
    <tableColumn id="34" xr3:uid="{E7994612-BBDF-A145-846B-D9E801077899}" name="Pitch 1" dataDxfId="34" totalsRowDxfId="53"/>
    <tableColumn id="35" xr3:uid="{5E1FC22E-9EB3-2348-9905-0A30205C39B8}" name="Pitch 2 " dataDxfId="33" totalsRowDxfId="52"/>
    <tableColumn id="36" xr3:uid="{74F4C070-7684-2647-842F-CFB13C21F232}" name="Pitch 3 " dataDxfId="32" totalsRowDxfId="51"/>
    <tableColumn id="43" xr3:uid="{966A18B9-3DDD-954F-BB39-690819347E34}" name="Pitch 4" dataDxfId="31" totalsRowDxfId="50"/>
    <tableColumn id="39" xr3:uid="{8B884A18-07E7-1D40-B29D-61EA45F7323F}" name="Athletic Movement " dataDxfId="41" totalsRowDxfId="49"/>
    <tableColumn id="40" xr3:uid="{7CFE577F-0E71-7A48-B102-E32461E0B750}" name="Body Control " dataDxfId="40" totalsRowDxfId="48"/>
    <tableColumn id="41" xr3:uid="{F202592E-21B8-D94C-8F84-D15805A9FAA9}" name="Direction " dataDxfId="39" totalsRowDxfId="47"/>
    <tableColumn id="42" xr3:uid="{4C72681D-FB6B-874C-BD02-3EE96DA92734}" name="Repeatability" dataDxfId="38" totalsRowDxfId="46"/>
    <tableColumn id="55" xr3:uid="{24FC1076-1851-4F4F-BA9F-0249FCD7A454}" name="Command2" dataDxfId="37" totalsRow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DD0D-B630-A847-8684-C377C7CEA2B8}">
  <dimension ref="B1:W81"/>
  <sheetViews>
    <sheetView tabSelected="1" topLeftCell="B76" workbookViewId="0">
      <selection activeCell="U61" sqref="U61:U62"/>
    </sheetView>
  </sheetViews>
  <sheetFormatPr baseColWidth="10" defaultRowHeight="16" x14ac:dyDescent="0.2"/>
  <cols>
    <col min="1" max="1" width="10.83203125" style="8"/>
    <col min="2" max="2" width="23.83203125" style="8" bestFit="1" customWidth="1"/>
    <col min="3" max="3" width="18.33203125" style="8" bestFit="1" customWidth="1"/>
    <col min="4" max="4" width="19" style="8" bestFit="1" customWidth="1"/>
    <col min="5" max="5" width="22.1640625" style="8" bestFit="1" customWidth="1"/>
    <col min="6" max="6" width="21.5" style="8" bestFit="1" customWidth="1"/>
    <col min="7" max="7" width="20.6640625" style="8" bestFit="1" customWidth="1"/>
    <col min="8" max="8" width="18.83203125" style="8" bestFit="1" customWidth="1"/>
    <col min="9" max="9" width="19.83203125" style="8" bestFit="1" customWidth="1"/>
    <col min="10" max="10" width="21" style="8" bestFit="1" customWidth="1"/>
    <col min="11" max="11" width="19.83203125" style="8" bestFit="1" customWidth="1"/>
    <col min="12" max="13" width="10.83203125" style="8"/>
    <col min="14" max="23" width="23.83203125" style="8" bestFit="1" customWidth="1"/>
    <col min="24" max="16384" width="10.83203125" style="8"/>
  </cols>
  <sheetData>
    <row r="1" spans="2:23" ht="16" customHeight="1" x14ac:dyDescent="0.2">
      <c r="B1" s="71" t="s">
        <v>128</v>
      </c>
      <c r="C1" s="71"/>
      <c r="D1" s="71"/>
      <c r="E1" s="71"/>
      <c r="F1" s="71"/>
      <c r="G1" s="71"/>
      <c r="H1" s="71"/>
      <c r="I1" s="71"/>
      <c r="J1" s="71"/>
      <c r="K1" s="71"/>
      <c r="N1" s="71" t="s">
        <v>137</v>
      </c>
      <c r="O1" s="71"/>
      <c r="P1" s="71"/>
      <c r="Q1" s="71"/>
      <c r="R1" s="71"/>
      <c r="S1" s="71"/>
      <c r="T1" s="71"/>
      <c r="U1" s="71"/>
      <c r="V1" s="71"/>
      <c r="W1" s="71"/>
    </row>
    <row r="2" spans="2:23" ht="16" customHeight="1" x14ac:dyDescent="0.2">
      <c r="B2" s="71"/>
      <c r="C2" s="71"/>
      <c r="D2" s="71"/>
      <c r="E2" s="71"/>
      <c r="F2" s="71"/>
      <c r="G2" s="71"/>
      <c r="H2" s="71"/>
      <c r="I2" s="71"/>
      <c r="J2" s="71"/>
      <c r="K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2:23" ht="16" customHeight="1" x14ac:dyDescent="0.2">
      <c r="B3" s="71"/>
      <c r="C3" s="71"/>
      <c r="D3" s="71"/>
      <c r="E3" s="71"/>
      <c r="F3" s="71"/>
      <c r="G3" s="71"/>
      <c r="H3" s="71"/>
      <c r="I3" s="71"/>
      <c r="J3" s="71"/>
      <c r="K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pans="2:23" ht="34" x14ac:dyDescent="0.2">
      <c r="B4" s="8" t="s">
        <v>115</v>
      </c>
      <c r="C4" s="8" t="s">
        <v>124</v>
      </c>
      <c r="D4" s="8" t="s">
        <v>117</v>
      </c>
      <c r="E4" s="2" t="s">
        <v>134</v>
      </c>
      <c r="F4" s="8" t="s">
        <v>119</v>
      </c>
      <c r="G4" s="8" t="s">
        <v>120</v>
      </c>
      <c r="H4" s="2" t="s">
        <v>135</v>
      </c>
      <c r="I4" s="8" t="s">
        <v>125</v>
      </c>
      <c r="J4" s="8" t="s">
        <v>126</v>
      </c>
      <c r="K4" s="8" t="s">
        <v>127</v>
      </c>
      <c r="N4" s="70" t="s">
        <v>116</v>
      </c>
      <c r="O4" s="70" t="s">
        <v>117</v>
      </c>
      <c r="P4" s="70" t="s">
        <v>118</v>
      </c>
      <c r="Q4" s="70" t="s">
        <v>119</v>
      </c>
      <c r="R4" s="70" t="s">
        <v>120</v>
      </c>
      <c r="S4" s="70" t="s">
        <v>121</v>
      </c>
      <c r="T4" s="70" t="s">
        <v>122</v>
      </c>
      <c r="U4" s="70" t="s">
        <v>123</v>
      </c>
      <c r="V4" s="70" t="s">
        <v>136</v>
      </c>
      <c r="W4" s="70" t="s">
        <v>136</v>
      </c>
    </row>
    <row r="5" spans="2:23" x14ac:dyDescent="0.2">
      <c r="B5" s="8" t="s">
        <v>69</v>
      </c>
      <c r="C5" s="68">
        <v>3.45</v>
      </c>
      <c r="D5" s="8">
        <v>1</v>
      </c>
      <c r="E5" s="8">
        <v>2</v>
      </c>
      <c r="F5" s="8">
        <v>5</v>
      </c>
      <c r="G5" s="8">
        <v>3</v>
      </c>
      <c r="H5" s="8">
        <v>4.0999999999999996</v>
      </c>
      <c r="I5" s="8">
        <v>4</v>
      </c>
      <c r="J5" s="8">
        <v>3</v>
      </c>
      <c r="K5" s="69">
        <v>3.2749999999999999</v>
      </c>
      <c r="M5" s="8">
        <v>1</v>
      </c>
      <c r="N5" s="8" t="s">
        <v>64</v>
      </c>
      <c r="O5" s="8" t="s">
        <v>39</v>
      </c>
      <c r="P5" s="8" t="s">
        <v>39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39</v>
      </c>
      <c r="W5" s="8" t="s">
        <v>63</v>
      </c>
    </row>
    <row r="6" spans="2:23" x14ac:dyDescent="0.2">
      <c r="B6" s="8" t="s">
        <v>83</v>
      </c>
      <c r="C6" s="68">
        <v>3.81</v>
      </c>
      <c r="D6" s="8">
        <v>3</v>
      </c>
      <c r="E6" s="8">
        <v>2.5</v>
      </c>
      <c r="F6" s="8">
        <v>3</v>
      </c>
      <c r="G6" s="8">
        <v>3</v>
      </c>
      <c r="H6" s="8">
        <v>3</v>
      </c>
      <c r="I6" s="8">
        <v>2</v>
      </c>
      <c r="J6" s="8">
        <v>3</v>
      </c>
      <c r="K6" s="69">
        <v>2.625</v>
      </c>
      <c r="M6" s="8">
        <v>2</v>
      </c>
      <c r="N6" s="8" t="s">
        <v>39</v>
      </c>
      <c r="O6" s="8" t="s">
        <v>65</v>
      </c>
      <c r="P6" s="8" t="s">
        <v>65</v>
      </c>
      <c r="Q6" s="8" t="s">
        <v>52</v>
      </c>
      <c r="R6" s="8" t="s">
        <v>66</v>
      </c>
      <c r="S6" s="8" t="s">
        <v>66</v>
      </c>
      <c r="T6" s="8" t="s">
        <v>90</v>
      </c>
      <c r="U6" s="8" t="s">
        <v>90</v>
      </c>
      <c r="V6" s="8" t="s">
        <v>86</v>
      </c>
      <c r="W6" s="8" t="s">
        <v>67</v>
      </c>
    </row>
    <row r="7" spans="2:23" x14ac:dyDescent="0.2">
      <c r="B7" s="8" t="s">
        <v>76</v>
      </c>
      <c r="C7" s="68">
        <v>3.82</v>
      </c>
      <c r="D7" s="8">
        <v>2</v>
      </c>
      <c r="E7" s="8">
        <v>2</v>
      </c>
      <c r="F7" s="8">
        <v>3</v>
      </c>
      <c r="G7" s="8">
        <v>2</v>
      </c>
      <c r="H7" s="8">
        <v>2.5499999999999998</v>
      </c>
      <c r="I7" s="8">
        <v>2</v>
      </c>
      <c r="J7" s="8">
        <v>2</v>
      </c>
      <c r="K7" s="69">
        <v>2.1375000000000002</v>
      </c>
      <c r="M7" s="8">
        <v>3</v>
      </c>
      <c r="N7" s="8" t="s">
        <v>111</v>
      </c>
      <c r="O7" s="8" t="s">
        <v>104</v>
      </c>
      <c r="P7" s="8" t="s">
        <v>104</v>
      </c>
      <c r="Q7" s="8" t="s">
        <v>86</v>
      </c>
      <c r="R7" s="8" t="s">
        <v>90</v>
      </c>
      <c r="S7" s="8" t="s">
        <v>90</v>
      </c>
      <c r="T7" s="8" t="s">
        <v>67</v>
      </c>
      <c r="U7" s="8" t="s">
        <v>67</v>
      </c>
      <c r="V7" s="8" t="s">
        <v>77</v>
      </c>
      <c r="W7" s="8" t="s">
        <v>52</v>
      </c>
    </row>
    <row r="8" spans="2:23" x14ac:dyDescent="0.2">
      <c r="B8" s="8" t="s">
        <v>94</v>
      </c>
      <c r="C8" s="68">
        <v>3.46</v>
      </c>
      <c r="D8" s="8">
        <v>3</v>
      </c>
      <c r="E8" s="8">
        <v>3</v>
      </c>
      <c r="F8" s="8">
        <v>2</v>
      </c>
      <c r="G8" s="8">
        <v>3</v>
      </c>
      <c r="H8" s="8">
        <v>2.4500000000000002</v>
      </c>
      <c r="I8" s="8">
        <v>2</v>
      </c>
      <c r="J8" s="8">
        <v>2</v>
      </c>
      <c r="K8" s="69">
        <v>2.3624999999999998</v>
      </c>
      <c r="M8" s="8">
        <v>4</v>
      </c>
      <c r="N8" s="8" t="s">
        <v>113</v>
      </c>
      <c r="O8" s="8" t="s">
        <v>63</v>
      </c>
      <c r="P8" s="8" t="s">
        <v>63</v>
      </c>
      <c r="Q8" s="8" t="s">
        <v>67</v>
      </c>
      <c r="R8" s="8" t="s">
        <v>100</v>
      </c>
      <c r="S8" s="8" t="s">
        <v>52</v>
      </c>
      <c r="T8" s="8" t="s">
        <v>44</v>
      </c>
      <c r="U8" s="8" t="s">
        <v>44</v>
      </c>
      <c r="V8" s="8" t="s">
        <v>90</v>
      </c>
      <c r="W8" s="8" t="s">
        <v>90</v>
      </c>
    </row>
    <row r="9" spans="2:23" x14ac:dyDescent="0.2">
      <c r="B9" s="8" t="s">
        <v>39</v>
      </c>
      <c r="C9" s="68">
        <v>3.11</v>
      </c>
      <c r="D9" s="8">
        <v>5</v>
      </c>
      <c r="E9" s="8">
        <v>5</v>
      </c>
      <c r="F9" s="8">
        <v>3</v>
      </c>
      <c r="G9" s="8">
        <v>3</v>
      </c>
      <c r="H9" s="8">
        <v>3</v>
      </c>
      <c r="I9" s="8">
        <v>3</v>
      </c>
      <c r="J9" s="8">
        <v>4</v>
      </c>
      <c r="K9" s="69">
        <v>3.75</v>
      </c>
      <c r="M9" s="8">
        <v>5</v>
      </c>
      <c r="N9" s="8" t="s">
        <v>112</v>
      </c>
      <c r="O9" s="8" t="s">
        <v>100</v>
      </c>
      <c r="P9" s="8" t="s">
        <v>100</v>
      </c>
      <c r="Q9" s="8" t="s">
        <v>66</v>
      </c>
      <c r="R9" s="8" t="s">
        <v>52</v>
      </c>
      <c r="S9" s="8" t="s">
        <v>86</v>
      </c>
      <c r="T9" s="8" t="s">
        <v>77</v>
      </c>
      <c r="U9" s="8" t="s">
        <v>77</v>
      </c>
      <c r="V9" s="8" t="s">
        <v>56</v>
      </c>
      <c r="W9" s="8" t="s">
        <v>44</v>
      </c>
    </row>
    <row r="10" spans="2:23" x14ac:dyDescent="0.2">
      <c r="B10" s="8" t="s">
        <v>47</v>
      </c>
      <c r="C10" s="68">
        <v>3.43</v>
      </c>
      <c r="D10" s="8">
        <v>5</v>
      </c>
      <c r="E10" s="8">
        <v>4</v>
      </c>
      <c r="F10" s="8">
        <v>3</v>
      </c>
      <c r="G10" s="8">
        <v>4</v>
      </c>
      <c r="H10" s="8">
        <v>3.45</v>
      </c>
      <c r="I10" s="8">
        <v>2</v>
      </c>
      <c r="J10" s="8">
        <v>2</v>
      </c>
      <c r="K10" s="69">
        <v>2.8624999999999998</v>
      </c>
      <c r="M10" s="8">
        <v>6</v>
      </c>
      <c r="N10" s="8" t="s">
        <v>65</v>
      </c>
      <c r="O10" s="8" t="s">
        <v>47</v>
      </c>
      <c r="P10" s="8" t="s">
        <v>64</v>
      </c>
      <c r="Q10" s="8" t="s">
        <v>90</v>
      </c>
      <c r="R10" s="8" t="s">
        <v>86</v>
      </c>
      <c r="S10" s="8" t="s">
        <v>78</v>
      </c>
      <c r="T10" s="8" t="s">
        <v>108</v>
      </c>
      <c r="U10" s="8" t="s">
        <v>108</v>
      </c>
      <c r="V10" s="8" t="s">
        <v>52</v>
      </c>
      <c r="W10" s="8" t="s">
        <v>108</v>
      </c>
    </row>
    <row r="11" spans="2:23" x14ac:dyDescent="0.2">
      <c r="B11" s="8" t="s">
        <v>78</v>
      </c>
      <c r="C11" s="68">
        <v>4.01</v>
      </c>
      <c r="D11" s="8">
        <v>3</v>
      </c>
      <c r="E11" s="8">
        <v>2</v>
      </c>
      <c r="F11" s="8">
        <v>5</v>
      </c>
      <c r="G11" s="8">
        <v>4</v>
      </c>
      <c r="H11" s="8">
        <v>4.55</v>
      </c>
      <c r="I11" s="8">
        <v>4</v>
      </c>
      <c r="J11" s="8">
        <v>4</v>
      </c>
      <c r="K11" s="69">
        <v>3.6375000000000002</v>
      </c>
      <c r="M11" s="8">
        <v>7</v>
      </c>
      <c r="N11" s="8" t="s">
        <v>109</v>
      </c>
      <c r="O11" s="8" t="s">
        <v>64</v>
      </c>
      <c r="P11" s="8" t="s">
        <v>111</v>
      </c>
      <c r="Q11" s="8" t="s">
        <v>78</v>
      </c>
      <c r="R11" s="8" t="s">
        <v>78</v>
      </c>
      <c r="S11" s="8" t="s">
        <v>67</v>
      </c>
      <c r="T11" s="8" t="s">
        <v>109</v>
      </c>
      <c r="U11" s="8" t="s">
        <v>109</v>
      </c>
      <c r="V11" s="8" t="s">
        <v>80</v>
      </c>
      <c r="W11" s="8" t="s">
        <v>77</v>
      </c>
    </row>
    <row r="12" spans="2:23" x14ac:dyDescent="0.2">
      <c r="B12" s="8" t="s">
        <v>100</v>
      </c>
      <c r="C12" s="68">
        <v>3.29</v>
      </c>
      <c r="D12" s="8">
        <v>5</v>
      </c>
      <c r="E12" s="8">
        <v>4.5</v>
      </c>
      <c r="F12" s="8">
        <v>3</v>
      </c>
      <c r="G12" s="8">
        <v>5</v>
      </c>
      <c r="H12" s="8">
        <v>3.9</v>
      </c>
      <c r="I12" s="8">
        <v>3</v>
      </c>
      <c r="J12" s="8">
        <v>3</v>
      </c>
      <c r="K12" s="69">
        <v>3.6</v>
      </c>
      <c r="M12" s="8">
        <v>8</v>
      </c>
      <c r="N12" s="8" t="s">
        <v>104</v>
      </c>
      <c r="O12" s="8" t="s">
        <v>111</v>
      </c>
      <c r="P12" s="8" t="s">
        <v>113</v>
      </c>
      <c r="Q12" s="8" t="s">
        <v>69</v>
      </c>
      <c r="R12" s="8" t="s">
        <v>91</v>
      </c>
      <c r="S12" s="8" t="s">
        <v>69</v>
      </c>
      <c r="T12" s="8" t="s">
        <v>66</v>
      </c>
      <c r="U12" s="8" t="s">
        <v>52</v>
      </c>
      <c r="V12" s="8" t="s">
        <v>63</v>
      </c>
      <c r="W12" s="8" t="s">
        <v>109</v>
      </c>
    </row>
    <row r="13" spans="2:23" x14ac:dyDescent="0.2">
      <c r="B13" s="8" t="s">
        <v>70</v>
      </c>
      <c r="C13" s="68">
        <v>3.41</v>
      </c>
      <c r="D13" s="8">
        <v>2</v>
      </c>
      <c r="E13" s="8">
        <v>2.5</v>
      </c>
      <c r="F13" s="8">
        <v>2</v>
      </c>
      <c r="G13" s="8">
        <v>3</v>
      </c>
      <c r="H13" s="8">
        <v>2.4500000000000002</v>
      </c>
      <c r="I13" s="8">
        <v>3</v>
      </c>
      <c r="J13" s="8">
        <v>2</v>
      </c>
      <c r="K13" s="69">
        <v>2.4874999999999998</v>
      </c>
      <c r="M13" s="8">
        <v>9</v>
      </c>
      <c r="N13" s="8" t="s">
        <v>63</v>
      </c>
      <c r="O13" s="8" t="s">
        <v>113</v>
      </c>
      <c r="P13" s="8" t="s">
        <v>47</v>
      </c>
      <c r="Q13" s="8" t="s">
        <v>95</v>
      </c>
      <c r="R13" s="8" t="s">
        <v>51</v>
      </c>
      <c r="S13" s="8" t="s">
        <v>91</v>
      </c>
      <c r="T13" s="8" t="s">
        <v>52</v>
      </c>
      <c r="U13" s="8" t="s">
        <v>66</v>
      </c>
      <c r="V13" s="8" t="s">
        <v>102</v>
      </c>
      <c r="W13" s="8" t="s">
        <v>66</v>
      </c>
    </row>
    <row r="14" spans="2:23" x14ac:dyDescent="0.2">
      <c r="B14" s="8" t="s">
        <v>98</v>
      </c>
      <c r="C14" s="68">
        <v>3.49</v>
      </c>
      <c r="D14" s="8">
        <v>3</v>
      </c>
      <c r="E14" s="8">
        <v>3</v>
      </c>
      <c r="F14" s="8">
        <v>2</v>
      </c>
      <c r="G14" s="8">
        <v>4</v>
      </c>
      <c r="H14" s="8">
        <v>2.9</v>
      </c>
      <c r="I14" s="8">
        <v>2</v>
      </c>
      <c r="J14" s="8">
        <v>2</v>
      </c>
      <c r="K14" s="69">
        <v>2.4750000000000001</v>
      </c>
      <c r="M14" s="8">
        <v>10</v>
      </c>
      <c r="N14" s="8" t="s">
        <v>108</v>
      </c>
      <c r="O14" s="8" t="s">
        <v>109</v>
      </c>
      <c r="P14" s="8" t="s">
        <v>109</v>
      </c>
      <c r="Q14" s="8" t="s">
        <v>107</v>
      </c>
      <c r="R14" s="8" t="s">
        <v>79</v>
      </c>
      <c r="S14" s="8" t="s">
        <v>51</v>
      </c>
      <c r="T14" s="8" t="s">
        <v>86</v>
      </c>
      <c r="U14" s="8" t="s">
        <v>78</v>
      </c>
      <c r="V14" s="8" t="s">
        <v>44</v>
      </c>
      <c r="W14" s="8" t="s">
        <v>86</v>
      </c>
    </row>
    <row r="15" spans="2:23" x14ac:dyDescent="0.2">
      <c r="B15" s="8" t="s">
        <v>44</v>
      </c>
      <c r="C15" s="68">
        <v>3.29</v>
      </c>
      <c r="D15" s="8">
        <v>3</v>
      </c>
      <c r="E15" s="8">
        <v>3.5</v>
      </c>
      <c r="F15" s="8">
        <v>3</v>
      </c>
      <c r="G15" s="8">
        <v>4</v>
      </c>
      <c r="H15" s="8">
        <v>3.45</v>
      </c>
      <c r="I15" s="8">
        <v>5</v>
      </c>
      <c r="J15" s="8">
        <v>5</v>
      </c>
      <c r="K15" s="69">
        <v>4.2374999999999998</v>
      </c>
      <c r="M15" s="8">
        <v>11</v>
      </c>
      <c r="N15" s="8" t="s">
        <v>91</v>
      </c>
      <c r="O15" s="8" t="s">
        <v>108</v>
      </c>
      <c r="P15" s="8" t="s">
        <v>108</v>
      </c>
      <c r="Q15" s="8" t="s">
        <v>91</v>
      </c>
      <c r="R15" s="8" t="s">
        <v>65</v>
      </c>
      <c r="S15" s="8" t="s">
        <v>79</v>
      </c>
      <c r="T15" s="8" t="s">
        <v>78</v>
      </c>
      <c r="U15" s="8" t="s">
        <v>51</v>
      </c>
      <c r="V15" s="8" t="s">
        <v>51</v>
      </c>
      <c r="W15" s="8" t="s">
        <v>60</v>
      </c>
    </row>
    <row r="16" spans="2:23" x14ac:dyDescent="0.2">
      <c r="B16" s="8" t="s">
        <v>40</v>
      </c>
      <c r="C16" s="68">
        <v>3.74</v>
      </c>
      <c r="D16" s="8">
        <v>1</v>
      </c>
      <c r="E16" s="8">
        <v>1.5</v>
      </c>
      <c r="F16" s="8">
        <v>1</v>
      </c>
      <c r="G16" s="8">
        <v>2</v>
      </c>
      <c r="H16" s="8">
        <v>1.45</v>
      </c>
      <c r="I16" s="8">
        <v>2</v>
      </c>
      <c r="J16" s="8">
        <v>2</v>
      </c>
      <c r="K16" s="69">
        <v>1.7375</v>
      </c>
      <c r="M16" s="8">
        <v>12</v>
      </c>
      <c r="N16" s="8" t="s">
        <v>72</v>
      </c>
      <c r="O16" s="8" t="s">
        <v>95</v>
      </c>
      <c r="P16" s="8" t="s">
        <v>95</v>
      </c>
      <c r="Q16" s="8" t="s">
        <v>102</v>
      </c>
      <c r="R16" s="8" t="s">
        <v>47</v>
      </c>
      <c r="S16" s="8" t="s">
        <v>100</v>
      </c>
      <c r="T16" s="8" t="s">
        <v>69</v>
      </c>
      <c r="U16" s="8" t="s">
        <v>60</v>
      </c>
      <c r="V16" s="8" t="s">
        <v>96</v>
      </c>
      <c r="W16" s="8" t="s">
        <v>39</v>
      </c>
    </row>
    <row r="17" spans="2:23" x14ac:dyDescent="0.2">
      <c r="B17" s="8" t="s">
        <v>111</v>
      </c>
      <c r="C17" s="68">
        <v>3.1215600000000001</v>
      </c>
      <c r="D17" s="8">
        <v>4</v>
      </c>
      <c r="E17" s="8">
        <v>4.5</v>
      </c>
      <c r="F17" s="8">
        <v>3</v>
      </c>
      <c r="G17" s="8">
        <v>3</v>
      </c>
      <c r="H17" s="8">
        <v>3</v>
      </c>
      <c r="I17" s="8">
        <v>4</v>
      </c>
      <c r="J17" s="8">
        <v>3</v>
      </c>
      <c r="K17" s="69">
        <v>3.625</v>
      </c>
      <c r="M17" s="8">
        <v>13</v>
      </c>
      <c r="N17" s="8" t="s">
        <v>95</v>
      </c>
      <c r="O17" s="8" t="s">
        <v>107</v>
      </c>
      <c r="P17" s="8" t="s">
        <v>107</v>
      </c>
      <c r="Q17" s="8" t="s">
        <v>56</v>
      </c>
      <c r="R17" s="8" t="s">
        <v>44</v>
      </c>
      <c r="S17" s="8" t="s">
        <v>95</v>
      </c>
      <c r="T17" s="8" t="s">
        <v>51</v>
      </c>
      <c r="U17" s="8" t="s">
        <v>96</v>
      </c>
      <c r="V17" s="8" t="s">
        <v>67</v>
      </c>
      <c r="W17" s="8" t="s">
        <v>78</v>
      </c>
    </row>
    <row r="18" spans="2:23" x14ac:dyDescent="0.2">
      <c r="B18" s="8" t="s">
        <v>97</v>
      </c>
      <c r="C18" s="68">
        <v>3.43</v>
      </c>
      <c r="D18" s="8">
        <v>4</v>
      </c>
      <c r="E18" s="8">
        <v>3.5</v>
      </c>
      <c r="F18" s="8">
        <v>3</v>
      </c>
      <c r="G18" s="8">
        <v>2</v>
      </c>
      <c r="H18" s="8">
        <v>2.5499999999999998</v>
      </c>
      <c r="I18" s="8">
        <v>4</v>
      </c>
      <c r="J18" s="8">
        <v>3</v>
      </c>
      <c r="K18" s="69">
        <v>3.2625000000000002</v>
      </c>
      <c r="M18" s="8">
        <v>14</v>
      </c>
      <c r="N18" s="8" t="s">
        <v>100</v>
      </c>
      <c r="O18" s="8" t="s">
        <v>103</v>
      </c>
      <c r="P18" s="8" t="s">
        <v>103</v>
      </c>
      <c r="Q18" s="8" t="s">
        <v>60</v>
      </c>
      <c r="R18" s="8" t="s">
        <v>43</v>
      </c>
      <c r="S18" s="8" t="s">
        <v>102</v>
      </c>
      <c r="T18" s="8" t="s">
        <v>102</v>
      </c>
      <c r="U18" s="8" t="s">
        <v>84</v>
      </c>
      <c r="V18" s="8" t="s">
        <v>95</v>
      </c>
      <c r="W18" s="8" t="s">
        <v>51</v>
      </c>
    </row>
    <row r="19" spans="2:23" x14ac:dyDescent="0.2">
      <c r="B19" s="8" t="s">
        <v>86</v>
      </c>
      <c r="C19" s="68">
        <v>3.46</v>
      </c>
      <c r="D19" s="8">
        <v>4</v>
      </c>
      <c r="E19" s="8">
        <v>3.5</v>
      </c>
      <c r="F19" s="8">
        <v>5</v>
      </c>
      <c r="G19" s="8">
        <v>4</v>
      </c>
      <c r="H19" s="8">
        <v>4.55</v>
      </c>
      <c r="I19" s="8">
        <v>4</v>
      </c>
      <c r="J19" s="8">
        <v>3</v>
      </c>
      <c r="K19" s="69">
        <v>3.7625000000000002</v>
      </c>
      <c r="M19" s="8">
        <v>15</v>
      </c>
      <c r="N19" s="8" t="s">
        <v>44</v>
      </c>
      <c r="O19" s="8" t="s">
        <v>45</v>
      </c>
      <c r="P19" s="8" t="s">
        <v>45</v>
      </c>
      <c r="Q19" s="8" t="s">
        <v>58</v>
      </c>
      <c r="R19" s="8" t="s">
        <v>41</v>
      </c>
      <c r="S19" s="8" t="s">
        <v>56</v>
      </c>
      <c r="T19" s="8" t="s">
        <v>56</v>
      </c>
      <c r="U19" s="8" t="s">
        <v>39</v>
      </c>
      <c r="V19" s="8" t="s">
        <v>70</v>
      </c>
      <c r="W19" s="8" t="s">
        <v>96</v>
      </c>
    </row>
    <row r="20" spans="2:23" x14ac:dyDescent="0.2">
      <c r="B20" s="8" t="s">
        <v>59</v>
      </c>
      <c r="C20" s="68">
        <v>3.52</v>
      </c>
      <c r="D20" s="8">
        <v>2</v>
      </c>
      <c r="E20" s="8">
        <v>2.5</v>
      </c>
      <c r="F20" s="8">
        <v>1</v>
      </c>
      <c r="G20" s="8">
        <v>3</v>
      </c>
      <c r="H20" s="8">
        <v>1.9</v>
      </c>
      <c r="I20" s="8">
        <v>3</v>
      </c>
      <c r="J20" s="8">
        <v>2</v>
      </c>
      <c r="K20" s="69">
        <v>2.35</v>
      </c>
      <c r="M20" s="8">
        <v>16</v>
      </c>
      <c r="N20" s="8" t="s">
        <v>96</v>
      </c>
      <c r="O20" s="8" t="s">
        <v>80</v>
      </c>
      <c r="P20" s="8" t="s">
        <v>80</v>
      </c>
      <c r="Q20" s="8" t="s">
        <v>77</v>
      </c>
      <c r="R20" s="8" t="s">
        <v>46</v>
      </c>
      <c r="S20" s="8" t="s">
        <v>60</v>
      </c>
      <c r="T20" s="8" t="s">
        <v>60</v>
      </c>
      <c r="U20" s="8" t="s">
        <v>86</v>
      </c>
      <c r="V20" s="8" t="s">
        <v>60</v>
      </c>
      <c r="W20" s="8" t="s">
        <v>104</v>
      </c>
    </row>
    <row r="21" spans="2:23" x14ac:dyDescent="0.2">
      <c r="B21" s="8" t="s">
        <v>66</v>
      </c>
      <c r="C21" s="68">
        <v>3.6</v>
      </c>
      <c r="D21" s="8">
        <v>2</v>
      </c>
      <c r="E21" s="8">
        <v>2.5</v>
      </c>
      <c r="F21" s="8">
        <v>5</v>
      </c>
      <c r="G21" s="8">
        <v>5</v>
      </c>
      <c r="H21" s="8">
        <v>5</v>
      </c>
      <c r="I21" s="8">
        <v>4</v>
      </c>
      <c r="J21" s="8">
        <v>4</v>
      </c>
      <c r="K21" s="69">
        <v>3.875</v>
      </c>
      <c r="M21" s="8">
        <v>17</v>
      </c>
      <c r="N21" s="8" t="s">
        <v>102</v>
      </c>
      <c r="O21" s="8" t="s">
        <v>97</v>
      </c>
      <c r="P21" s="8" t="s">
        <v>97</v>
      </c>
      <c r="Q21" s="8" t="s">
        <v>51</v>
      </c>
      <c r="R21" s="8" t="s">
        <v>103</v>
      </c>
      <c r="S21" s="8" t="s">
        <v>58</v>
      </c>
      <c r="T21" s="8" t="s">
        <v>58</v>
      </c>
      <c r="U21" s="8" t="s">
        <v>69</v>
      </c>
      <c r="V21" s="8" t="s">
        <v>91</v>
      </c>
      <c r="W21" s="8" t="s">
        <v>111</v>
      </c>
    </row>
    <row r="22" spans="2:23" x14ac:dyDescent="0.2">
      <c r="B22" s="8" t="s">
        <v>63</v>
      </c>
      <c r="C22" s="68">
        <v>3.23</v>
      </c>
      <c r="D22" s="8">
        <v>5</v>
      </c>
      <c r="E22" s="8">
        <v>4.5</v>
      </c>
      <c r="F22" s="8">
        <v>5</v>
      </c>
      <c r="G22" s="8">
        <v>5</v>
      </c>
      <c r="H22" s="8">
        <v>5</v>
      </c>
      <c r="I22" s="8">
        <v>5</v>
      </c>
      <c r="J22" s="8">
        <v>5</v>
      </c>
      <c r="K22" s="69">
        <v>4.875</v>
      </c>
      <c r="M22" s="8">
        <v>18</v>
      </c>
      <c r="N22" s="8" t="s">
        <v>56</v>
      </c>
      <c r="O22" s="8" t="s">
        <v>52</v>
      </c>
      <c r="P22" s="8" t="s">
        <v>52</v>
      </c>
      <c r="Q22" s="8" t="s">
        <v>87</v>
      </c>
      <c r="R22" s="8" t="s">
        <v>98</v>
      </c>
      <c r="S22" s="8" t="s">
        <v>87</v>
      </c>
      <c r="T22" s="8" t="s">
        <v>104</v>
      </c>
      <c r="U22" s="8" t="s">
        <v>102</v>
      </c>
      <c r="V22" s="8" t="s">
        <v>74</v>
      </c>
      <c r="W22" s="8" t="s">
        <v>100</v>
      </c>
    </row>
    <row r="23" spans="2:23" x14ac:dyDescent="0.2">
      <c r="B23" s="8" t="s">
        <v>60</v>
      </c>
      <c r="C23" s="68">
        <v>3.36</v>
      </c>
      <c r="D23" s="8">
        <v>3</v>
      </c>
      <c r="E23" s="8">
        <v>3.5</v>
      </c>
      <c r="F23" s="8">
        <v>4</v>
      </c>
      <c r="G23" s="8">
        <v>3</v>
      </c>
      <c r="H23" s="8">
        <v>3.55</v>
      </c>
      <c r="I23" s="8">
        <v>4</v>
      </c>
      <c r="J23" s="8">
        <v>4</v>
      </c>
      <c r="K23" s="69">
        <v>3.7625000000000002</v>
      </c>
      <c r="M23" s="8">
        <v>19</v>
      </c>
      <c r="N23" s="8" t="s">
        <v>107</v>
      </c>
      <c r="O23" s="8" t="s">
        <v>86</v>
      </c>
      <c r="P23" s="8" t="s">
        <v>86</v>
      </c>
      <c r="Q23" s="8" t="s">
        <v>79</v>
      </c>
      <c r="R23" s="8" t="s">
        <v>84</v>
      </c>
      <c r="S23" s="8" t="s">
        <v>65</v>
      </c>
      <c r="T23" s="8" t="s">
        <v>111</v>
      </c>
      <c r="U23" s="8" t="s">
        <v>58</v>
      </c>
      <c r="V23" s="8" t="s">
        <v>58</v>
      </c>
      <c r="W23" s="8" t="s">
        <v>58</v>
      </c>
    </row>
    <row r="24" spans="2:23" x14ac:dyDescent="0.2">
      <c r="B24" s="8" t="s">
        <v>99</v>
      </c>
      <c r="C24" s="68">
        <v>3.94</v>
      </c>
      <c r="D24" s="8">
        <v>1</v>
      </c>
      <c r="E24" s="8">
        <v>1</v>
      </c>
      <c r="F24" s="8">
        <v>2</v>
      </c>
      <c r="G24" s="8">
        <v>2</v>
      </c>
      <c r="H24" s="8">
        <v>2</v>
      </c>
      <c r="I24" s="8">
        <v>2</v>
      </c>
      <c r="J24" s="8">
        <v>2</v>
      </c>
      <c r="K24" s="69">
        <v>1.75</v>
      </c>
      <c r="M24" s="8">
        <v>20</v>
      </c>
      <c r="N24" s="8" t="s">
        <v>103</v>
      </c>
      <c r="O24" s="8" t="s">
        <v>112</v>
      </c>
      <c r="P24" s="8" t="s">
        <v>112</v>
      </c>
      <c r="Q24" s="8" t="s">
        <v>39</v>
      </c>
      <c r="R24" s="8" t="s">
        <v>67</v>
      </c>
      <c r="S24" s="8" t="s">
        <v>47</v>
      </c>
      <c r="T24" s="8" t="s">
        <v>96</v>
      </c>
      <c r="U24" s="8" t="s">
        <v>104</v>
      </c>
      <c r="V24" s="8" t="s">
        <v>55</v>
      </c>
      <c r="W24" s="8" t="s">
        <v>102</v>
      </c>
    </row>
    <row r="25" spans="2:23" x14ac:dyDescent="0.2">
      <c r="B25" s="8" t="s">
        <v>71</v>
      </c>
      <c r="C25" s="68">
        <v>3.36</v>
      </c>
      <c r="D25" s="8">
        <v>3</v>
      </c>
      <c r="E25" s="8">
        <v>3.5</v>
      </c>
      <c r="F25" s="8">
        <v>3</v>
      </c>
      <c r="G25" s="8">
        <v>3</v>
      </c>
      <c r="H25" s="8">
        <v>3</v>
      </c>
      <c r="I25" s="8">
        <v>4</v>
      </c>
      <c r="J25" s="8">
        <v>2</v>
      </c>
      <c r="K25" s="69">
        <v>3.125</v>
      </c>
      <c r="M25" s="8">
        <v>21</v>
      </c>
      <c r="N25" s="8" t="s">
        <v>105</v>
      </c>
      <c r="O25" s="8" t="s">
        <v>91</v>
      </c>
      <c r="P25" s="8" t="s">
        <v>91</v>
      </c>
      <c r="Q25" s="8" t="s">
        <v>65</v>
      </c>
      <c r="R25" s="8" t="s">
        <v>69</v>
      </c>
      <c r="S25" s="8" t="s">
        <v>44</v>
      </c>
      <c r="T25" s="8" t="s">
        <v>71</v>
      </c>
      <c r="U25" s="8" t="s">
        <v>111</v>
      </c>
      <c r="V25" s="8" t="s">
        <v>114</v>
      </c>
      <c r="W25" s="8" t="s">
        <v>95</v>
      </c>
    </row>
    <row r="26" spans="2:23" x14ac:dyDescent="0.2">
      <c r="B26" s="8" t="s">
        <v>93</v>
      </c>
      <c r="C26" s="68">
        <v>3.51</v>
      </c>
      <c r="D26" s="8">
        <v>2</v>
      </c>
      <c r="E26" s="8">
        <v>2.5</v>
      </c>
      <c r="F26" s="8">
        <v>3</v>
      </c>
      <c r="G26" s="8">
        <v>3</v>
      </c>
      <c r="H26" s="8">
        <v>3</v>
      </c>
      <c r="I26" s="8">
        <v>3</v>
      </c>
      <c r="J26" s="8">
        <v>3</v>
      </c>
      <c r="K26" s="69">
        <v>2.875</v>
      </c>
      <c r="M26" s="8">
        <v>22</v>
      </c>
      <c r="N26" s="8" t="s">
        <v>60</v>
      </c>
      <c r="O26" s="8" t="s">
        <v>72</v>
      </c>
      <c r="P26" s="8" t="s">
        <v>72</v>
      </c>
      <c r="Q26" s="8" t="s">
        <v>104</v>
      </c>
      <c r="R26" s="8" t="s">
        <v>95</v>
      </c>
      <c r="S26" s="8" t="s">
        <v>43</v>
      </c>
      <c r="T26" s="8" t="s">
        <v>89</v>
      </c>
      <c r="U26" s="8" t="s">
        <v>89</v>
      </c>
      <c r="V26" s="8" t="s">
        <v>47</v>
      </c>
      <c r="W26" s="8" t="s">
        <v>84</v>
      </c>
    </row>
    <row r="27" spans="2:23" x14ac:dyDescent="0.2">
      <c r="B27" s="8" t="s">
        <v>38</v>
      </c>
      <c r="C27" s="68">
        <v>3.41</v>
      </c>
      <c r="D27" s="8">
        <v>3</v>
      </c>
      <c r="E27" s="8">
        <v>3</v>
      </c>
      <c r="F27" s="8">
        <v>2</v>
      </c>
      <c r="G27" s="8">
        <v>3</v>
      </c>
      <c r="H27" s="8">
        <v>2.4500000000000002</v>
      </c>
      <c r="I27" s="8">
        <v>2</v>
      </c>
      <c r="J27" s="8">
        <v>2</v>
      </c>
      <c r="K27" s="69">
        <v>2.3624999999999998</v>
      </c>
      <c r="M27" s="8">
        <v>23</v>
      </c>
      <c r="N27" s="8" t="s">
        <v>71</v>
      </c>
      <c r="O27" s="8" t="s">
        <v>44</v>
      </c>
      <c r="P27" s="8" t="s">
        <v>44</v>
      </c>
      <c r="Q27" s="8" t="s">
        <v>100</v>
      </c>
      <c r="R27" s="8" t="s">
        <v>102</v>
      </c>
      <c r="S27" s="8" t="s">
        <v>41</v>
      </c>
      <c r="T27" s="8" t="s">
        <v>106</v>
      </c>
      <c r="U27" s="8" t="s">
        <v>106</v>
      </c>
      <c r="V27" s="8" t="s">
        <v>78</v>
      </c>
      <c r="W27" s="8" t="s">
        <v>69</v>
      </c>
    </row>
    <row r="28" spans="2:23" x14ac:dyDescent="0.2">
      <c r="B28" s="8" t="s">
        <v>41</v>
      </c>
      <c r="C28" s="68">
        <v>3.53</v>
      </c>
      <c r="D28" s="8">
        <v>2</v>
      </c>
      <c r="E28" s="8">
        <v>2.5</v>
      </c>
      <c r="F28" s="8">
        <v>3</v>
      </c>
      <c r="G28" s="8">
        <v>4</v>
      </c>
      <c r="H28" s="8">
        <v>3.45</v>
      </c>
      <c r="I28" s="8">
        <v>3</v>
      </c>
      <c r="J28" s="8">
        <v>3</v>
      </c>
      <c r="K28" s="69">
        <v>2.9874999999999998</v>
      </c>
      <c r="M28" s="8">
        <v>24</v>
      </c>
      <c r="N28" s="8" t="s">
        <v>58</v>
      </c>
      <c r="O28" s="8" t="s">
        <v>96</v>
      </c>
      <c r="P28" s="8" t="s">
        <v>96</v>
      </c>
      <c r="Q28" s="8" t="s">
        <v>111</v>
      </c>
      <c r="R28" s="8" t="s">
        <v>56</v>
      </c>
      <c r="S28" s="8" t="s">
        <v>46</v>
      </c>
      <c r="T28" s="8" t="s">
        <v>84</v>
      </c>
      <c r="U28" s="8" t="s">
        <v>97</v>
      </c>
      <c r="V28" s="8" t="s">
        <v>100</v>
      </c>
      <c r="W28" s="8" t="s">
        <v>97</v>
      </c>
    </row>
    <row r="29" spans="2:23" x14ac:dyDescent="0.2">
      <c r="B29" s="8" t="s">
        <v>42</v>
      </c>
      <c r="C29" s="68">
        <v>3.53</v>
      </c>
      <c r="D29" s="8">
        <v>3</v>
      </c>
      <c r="E29" s="8">
        <v>3</v>
      </c>
      <c r="F29" s="8">
        <v>2</v>
      </c>
      <c r="G29" s="8">
        <v>3</v>
      </c>
      <c r="H29" s="8">
        <v>2.4500000000000002</v>
      </c>
      <c r="I29" s="8">
        <v>2</v>
      </c>
      <c r="J29" s="8">
        <v>2</v>
      </c>
      <c r="K29" s="69">
        <v>2.3624999999999998</v>
      </c>
      <c r="M29" s="8">
        <v>25</v>
      </c>
      <c r="N29" s="8" t="s">
        <v>114</v>
      </c>
      <c r="O29" s="8" t="s">
        <v>102</v>
      </c>
      <c r="P29" s="8" t="s">
        <v>102</v>
      </c>
      <c r="Q29" s="8" t="s">
        <v>113</v>
      </c>
      <c r="R29" s="8" t="s">
        <v>60</v>
      </c>
      <c r="S29" s="8" t="s">
        <v>107</v>
      </c>
      <c r="T29" s="8" t="s">
        <v>97</v>
      </c>
      <c r="U29" s="8" t="s">
        <v>75</v>
      </c>
      <c r="V29" s="8" t="s">
        <v>66</v>
      </c>
      <c r="W29" s="8" t="s">
        <v>56</v>
      </c>
    </row>
    <row r="30" spans="2:23" x14ac:dyDescent="0.2">
      <c r="B30" s="8" t="s">
        <v>53</v>
      </c>
      <c r="C30" s="68">
        <v>3.95</v>
      </c>
      <c r="D30" s="8">
        <v>2</v>
      </c>
      <c r="E30" s="8">
        <v>1.5</v>
      </c>
      <c r="F30" s="8">
        <v>2</v>
      </c>
      <c r="G30" s="8">
        <v>3</v>
      </c>
      <c r="H30" s="8">
        <v>2.4500000000000002</v>
      </c>
      <c r="I30" s="8">
        <v>2</v>
      </c>
      <c r="J30" s="8">
        <v>2</v>
      </c>
      <c r="K30" s="69">
        <v>1.9875</v>
      </c>
      <c r="M30" s="8">
        <v>26</v>
      </c>
      <c r="N30" s="8" t="s">
        <v>45</v>
      </c>
      <c r="O30" s="8" t="s">
        <v>56</v>
      </c>
      <c r="P30" s="8" t="s">
        <v>56</v>
      </c>
      <c r="Q30" s="8" t="s">
        <v>47</v>
      </c>
      <c r="R30" s="8" t="s">
        <v>58</v>
      </c>
      <c r="S30" s="8" t="s">
        <v>77</v>
      </c>
      <c r="T30" s="8" t="s">
        <v>75</v>
      </c>
      <c r="U30" s="8" t="s">
        <v>85</v>
      </c>
      <c r="V30" s="8" t="s">
        <v>65</v>
      </c>
      <c r="W30" s="8" t="s">
        <v>106</v>
      </c>
    </row>
    <row r="31" spans="2:23" x14ac:dyDescent="0.2">
      <c r="B31" s="8" t="s">
        <v>108</v>
      </c>
      <c r="C31" s="68">
        <v>3.2549600000000001</v>
      </c>
      <c r="D31" s="8">
        <v>4</v>
      </c>
      <c r="E31" s="8">
        <v>4</v>
      </c>
      <c r="F31" s="8">
        <v>3</v>
      </c>
      <c r="G31" s="8">
        <v>2</v>
      </c>
      <c r="H31" s="8">
        <v>2.5499999999999998</v>
      </c>
      <c r="I31" s="8">
        <v>5</v>
      </c>
      <c r="J31" s="8">
        <v>5</v>
      </c>
      <c r="K31" s="69">
        <v>4.1375000000000002</v>
      </c>
      <c r="M31" s="8">
        <v>27</v>
      </c>
      <c r="N31" s="8" t="s">
        <v>80</v>
      </c>
      <c r="O31" s="8" t="s">
        <v>105</v>
      </c>
      <c r="P31" s="8" t="s">
        <v>105</v>
      </c>
      <c r="Q31" s="8" t="s">
        <v>108</v>
      </c>
      <c r="R31" s="8" t="s">
        <v>87</v>
      </c>
      <c r="S31" s="8" t="s">
        <v>39</v>
      </c>
      <c r="T31" s="8" t="s">
        <v>85</v>
      </c>
      <c r="U31" s="8" t="s">
        <v>74</v>
      </c>
      <c r="V31" s="8" t="s">
        <v>107</v>
      </c>
      <c r="W31" s="8" t="s">
        <v>89</v>
      </c>
    </row>
    <row r="32" spans="2:23" x14ac:dyDescent="0.2">
      <c r="B32" s="8" t="s">
        <v>62</v>
      </c>
      <c r="C32" s="68">
        <v>3.49</v>
      </c>
      <c r="D32" s="8">
        <v>2</v>
      </c>
      <c r="E32" s="8">
        <v>2.5</v>
      </c>
      <c r="F32" s="8">
        <v>2</v>
      </c>
      <c r="G32" s="8">
        <v>3</v>
      </c>
      <c r="H32" s="8">
        <v>2.4500000000000002</v>
      </c>
      <c r="I32" s="8">
        <v>2</v>
      </c>
      <c r="J32" s="8">
        <v>2</v>
      </c>
      <c r="K32" s="69">
        <v>2.2374999999999998</v>
      </c>
      <c r="M32" s="8">
        <v>28</v>
      </c>
      <c r="N32" s="8" t="s">
        <v>70</v>
      </c>
      <c r="O32" s="8" t="s">
        <v>60</v>
      </c>
      <c r="P32" s="8" t="s">
        <v>60</v>
      </c>
      <c r="Q32" s="8" t="s">
        <v>45</v>
      </c>
      <c r="R32" s="8" t="s">
        <v>39</v>
      </c>
      <c r="S32" s="8" t="s">
        <v>104</v>
      </c>
      <c r="T32" s="8" t="s">
        <v>74</v>
      </c>
      <c r="U32" s="8" t="s">
        <v>105</v>
      </c>
      <c r="V32" s="8" t="s">
        <v>84</v>
      </c>
      <c r="W32" s="8" t="s">
        <v>65</v>
      </c>
    </row>
    <row r="33" spans="2:23" x14ac:dyDescent="0.2">
      <c r="B33" s="8" t="s">
        <v>57</v>
      </c>
      <c r="C33" s="68">
        <v>3.42</v>
      </c>
      <c r="D33" s="8">
        <v>3</v>
      </c>
      <c r="E33" s="8">
        <v>3</v>
      </c>
      <c r="F33" s="8">
        <v>3</v>
      </c>
      <c r="G33" s="8">
        <v>3</v>
      </c>
      <c r="H33" s="8">
        <v>3</v>
      </c>
      <c r="I33" s="8">
        <v>2</v>
      </c>
      <c r="J33" s="8">
        <v>2</v>
      </c>
      <c r="K33" s="69">
        <v>2.5</v>
      </c>
      <c r="M33" s="8">
        <v>29</v>
      </c>
      <c r="N33" s="8" t="s">
        <v>38</v>
      </c>
      <c r="O33" s="8" t="s">
        <v>71</v>
      </c>
      <c r="P33" s="8" t="s">
        <v>71</v>
      </c>
      <c r="Q33" s="8" t="s">
        <v>97</v>
      </c>
      <c r="R33" s="8" t="s">
        <v>104</v>
      </c>
      <c r="S33" s="8" t="s">
        <v>111</v>
      </c>
      <c r="T33" s="8" t="s">
        <v>105</v>
      </c>
      <c r="U33" s="8" t="s">
        <v>79</v>
      </c>
      <c r="V33" s="8" t="s">
        <v>72</v>
      </c>
      <c r="W33" s="8" t="s">
        <v>45</v>
      </c>
    </row>
    <row r="34" spans="2:23" x14ac:dyDescent="0.2">
      <c r="B34" s="8" t="s">
        <v>56</v>
      </c>
      <c r="C34" s="68">
        <v>3.31</v>
      </c>
      <c r="D34" s="8">
        <v>3</v>
      </c>
      <c r="E34" s="8">
        <v>3.5</v>
      </c>
      <c r="F34" s="8">
        <v>4</v>
      </c>
      <c r="G34" s="8">
        <v>3</v>
      </c>
      <c r="H34" s="8">
        <v>3.55</v>
      </c>
      <c r="I34" s="8">
        <v>4</v>
      </c>
      <c r="J34" s="8">
        <v>2</v>
      </c>
      <c r="K34" s="69">
        <v>3.2625000000000002</v>
      </c>
      <c r="M34" s="8">
        <v>30</v>
      </c>
      <c r="N34" s="8" t="s">
        <v>68</v>
      </c>
      <c r="O34" s="8" t="s">
        <v>58</v>
      </c>
      <c r="P34" s="8" t="s">
        <v>58</v>
      </c>
      <c r="Q34" s="8" t="s">
        <v>72</v>
      </c>
      <c r="R34" s="8" t="s">
        <v>111</v>
      </c>
      <c r="S34" s="8" t="s">
        <v>113</v>
      </c>
      <c r="T34" s="8" t="s">
        <v>91</v>
      </c>
      <c r="U34" s="8" t="s">
        <v>100</v>
      </c>
      <c r="V34" s="8" t="s">
        <v>110</v>
      </c>
      <c r="W34" s="8" t="s">
        <v>71</v>
      </c>
    </row>
    <row r="35" spans="2:23" x14ac:dyDescent="0.2">
      <c r="B35" s="8" t="s">
        <v>101</v>
      </c>
      <c r="C35" s="68">
        <v>3.52</v>
      </c>
      <c r="D35" s="8">
        <v>2</v>
      </c>
      <c r="E35" s="8">
        <v>2.5</v>
      </c>
      <c r="F35" s="8">
        <v>3</v>
      </c>
      <c r="G35" s="8">
        <v>3</v>
      </c>
      <c r="H35" s="8">
        <v>3</v>
      </c>
      <c r="I35" s="8">
        <v>3</v>
      </c>
      <c r="J35" s="8">
        <v>3</v>
      </c>
      <c r="K35" s="69">
        <v>2.875</v>
      </c>
      <c r="M35" s="8">
        <v>31</v>
      </c>
      <c r="N35" s="8" t="s">
        <v>57</v>
      </c>
      <c r="O35" s="8" t="s">
        <v>38</v>
      </c>
      <c r="P35" s="8" t="s">
        <v>38</v>
      </c>
      <c r="Q35" s="8" t="s">
        <v>44</v>
      </c>
      <c r="R35" s="8" t="s">
        <v>113</v>
      </c>
      <c r="S35" s="8" t="s">
        <v>45</v>
      </c>
      <c r="T35" s="8" t="s">
        <v>79</v>
      </c>
      <c r="U35" s="8" t="s">
        <v>95</v>
      </c>
      <c r="V35" s="8" t="s">
        <v>83</v>
      </c>
      <c r="W35" s="8" t="s">
        <v>91</v>
      </c>
    </row>
    <row r="36" spans="2:23" x14ac:dyDescent="0.2">
      <c r="B36" s="8" t="s">
        <v>91</v>
      </c>
      <c r="C36" s="68">
        <v>3.26</v>
      </c>
      <c r="D36" s="8">
        <v>3</v>
      </c>
      <c r="E36" s="8">
        <v>3.5</v>
      </c>
      <c r="F36" s="8">
        <v>4</v>
      </c>
      <c r="G36" s="8">
        <v>4</v>
      </c>
      <c r="H36" s="8">
        <v>4</v>
      </c>
      <c r="I36" s="8">
        <v>3</v>
      </c>
      <c r="J36" s="8">
        <v>2</v>
      </c>
      <c r="K36" s="69">
        <v>3.125</v>
      </c>
      <c r="M36" s="8">
        <v>32</v>
      </c>
      <c r="N36" s="8" t="s">
        <v>47</v>
      </c>
      <c r="O36" s="8" t="s">
        <v>68</v>
      </c>
      <c r="P36" s="8" t="s">
        <v>68</v>
      </c>
      <c r="Q36" s="8" t="s">
        <v>96</v>
      </c>
      <c r="R36" s="8" t="s">
        <v>45</v>
      </c>
      <c r="S36" s="8" t="s">
        <v>72</v>
      </c>
      <c r="T36" s="8" t="s">
        <v>100</v>
      </c>
      <c r="U36" s="8" t="s">
        <v>43</v>
      </c>
      <c r="V36" s="8" t="s">
        <v>59</v>
      </c>
      <c r="W36" s="8" t="s">
        <v>85</v>
      </c>
    </row>
    <row r="37" spans="2:23" x14ac:dyDescent="0.2">
      <c r="B37" s="8" t="s">
        <v>92</v>
      </c>
      <c r="C37" s="68">
        <v>3.73</v>
      </c>
      <c r="D37" s="8">
        <v>3</v>
      </c>
      <c r="E37" s="8">
        <v>2.5</v>
      </c>
      <c r="F37" s="8">
        <v>3</v>
      </c>
      <c r="G37" s="8">
        <v>3</v>
      </c>
      <c r="H37" s="8">
        <v>3</v>
      </c>
      <c r="I37" s="8">
        <v>2</v>
      </c>
      <c r="J37" s="8">
        <v>3</v>
      </c>
      <c r="K37" s="69">
        <v>2.625</v>
      </c>
      <c r="M37" s="8">
        <v>33</v>
      </c>
      <c r="N37" s="8" t="s">
        <v>97</v>
      </c>
      <c r="O37" s="8" t="s">
        <v>57</v>
      </c>
      <c r="P37" s="8" t="s">
        <v>57</v>
      </c>
      <c r="Q37" s="8" t="s">
        <v>71</v>
      </c>
      <c r="R37" s="8" t="s">
        <v>72</v>
      </c>
      <c r="S37" s="8" t="s">
        <v>96</v>
      </c>
      <c r="T37" s="8" t="s">
        <v>95</v>
      </c>
      <c r="U37" s="8" t="s">
        <v>41</v>
      </c>
      <c r="V37" s="8" t="s">
        <v>93</v>
      </c>
      <c r="W37" s="8" t="s">
        <v>105</v>
      </c>
    </row>
    <row r="38" spans="2:23" x14ac:dyDescent="0.2">
      <c r="B38" s="8" t="s">
        <v>52</v>
      </c>
      <c r="C38" s="68">
        <v>3.43</v>
      </c>
      <c r="D38" s="8">
        <v>4</v>
      </c>
      <c r="E38" s="8">
        <v>3.5</v>
      </c>
      <c r="F38" s="8">
        <v>5</v>
      </c>
      <c r="G38" s="8">
        <v>4</v>
      </c>
      <c r="H38" s="8">
        <v>4.55</v>
      </c>
      <c r="I38" s="8">
        <v>4</v>
      </c>
      <c r="J38" s="8">
        <v>5</v>
      </c>
      <c r="K38" s="69">
        <v>4.2625000000000002</v>
      </c>
      <c r="M38" s="8">
        <v>34</v>
      </c>
      <c r="N38" s="8" t="s">
        <v>52</v>
      </c>
      <c r="O38" s="8" t="s">
        <v>94</v>
      </c>
      <c r="P38" s="8" t="s">
        <v>94</v>
      </c>
      <c r="Q38" s="8" t="s">
        <v>57</v>
      </c>
      <c r="R38" s="8" t="s">
        <v>96</v>
      </c>
      <c r="S38" s="8" t="s">
        <v>71</v>
      </c>
      <c r="T38" s="8" t="s">
        <v>43</v>
      </c>
      <c r="U38" s="8" t="s">
        <v>45</v>
      </c>
      <c r="V38" s="8" t="s">
        <v>38</v>
      </c>
      <c r="W38" s="8" t="s">
        <v>107</v>
      </c>
    </row>
    <row r="39" spans="2:23" x14ac:dyDescent="0.2">
      <c r="B39" s="8" t="s">
        <v>46</v>
      </c>
      <c r="C39" s="68">
        <v>3.89</v>
      </c>
      <c r="D39" s="8">
        <v>3</v>
      </c>
      <c r="E39" s="8">
        <v>2</v>
      </c>
      <c r="F39" s="8">
        <v>3</v>
      </c>
      <c r="G39" s="8">
        <v>4</v>
      </c>
      <c r="H39" s="8">
        <v>3.45</v>
      </c>
      <c r="I39" s="8">
        <v>2</v>
      </c>
      <c r="J39" s="8">
        <v>2</v>
      </c>
      <c r="K39" s="69">
        <v>2.3624999999999998</v>
      </c>
      <c r="M39" s="8">
        <v>35</v>
      </c>
      <c r="N39" s="8" t="s">
        <v>69</v>
      </c>
      <c r="O39" s="8" t="s">
        <v>98</v>
      </c>
      <c r="P39" s="8" t="s">
        <v>98</v>
      </c>
      <c r="Q39" s="8" t="s">
        <v>89</v>
      </c>
      <c r="R39" s="8" t="s">
        <v>71</v>
      </c>
      <c r="S39" s="8" t="s">
        <v>57</v>
      </c>
      <c r="T39" s="8" t="s">
        <v>41</v>
      </c>
      <c r="U39" s="8" t="s">
        <v>55</v>
      </c>
      <c r="V39" s="8" t="s">
        <v>57</v>
      </c>
      <c r="W39" s="8" t="s">
        <v>75</v>
      </c>
    </row>
    <row r="40" spans="2:23" x14ac:dyDescent="0.2">
      <c r="B40" s="8" t="s">
        <v>74</v>
      </c>
      <c r="C40" s="68">
        <v>3.65</v>
      </c>
      <c r="D40" s="8">
        <v>2</v>
      </c>
      <c r="E40" s="8">
        <v>2</v>
      </c>
      <c r="F40" s="8">
        <v>2</v>
      </c>
      <c r="G40" s="8">
        <v>2</v>
      </c>
      <c r="H40" s="8">
        <v>2</v>
      </c>
      <c r="I40" s="8">
        <v>4</v>
      </c>
      <c r="J40" s="8">
        <v>3</v>
      </c>
      <c r="K40" s="69">
        <v>2.75</v>
      </c>
      <c r="M40" s="8">
        <v>36</v>
      </c>
      <c r="N40" s="8" t="s">
        <v>94</v>
      </c>
      <c r="O40" s="8" t="s">
        <v>85</v>
      </c>
      <c r="P40" s="8" t="s">
        <v>85</v>
      </c>
      <c r="Q40" s="8" t="s">
        <v>106</v>
      </c>
      <c r="R40" s="8" t="s">
        <v>57</v>
      </c>
      <c r="S40" s="8" t="s">
        <v>89</v>
      </c>
      <c r="T40" s="8" t="s">
        <v>39</v>
      </c>
      <c r="U40" s="8" t="s">
        <v>93</v>
      </c>
      <c r="V40" s="8" t="s">
        <v>101</v>
      </c>
      <c r="W40" s="8" t="s">
        <v>79</v>
      </c>
    </row>
    <row r="41" spans="2:23" x14ac:dyDescent="0.2">
      <c r="B41" s="8" t="s">
        <v>81</v>
      </c>
      <c r="C41" s="68">
        <v>3.77</v>
      </c>
      <c r="D41" s="8">
        <v>2</v>
      </c>
      <c r="E41" s="8">
        <v>2</v>
      </c>
      <c r="F41" s="8">
        <v>3</v>
      </c>
      <c r="G41" s="8">
        <v>3</v>
      </c>
      <c r="H41" s="8">
        <v>3</v>
      </c>
      <c r="I41" s="8">
        <v>2</v>
      </c>
      <c r="J41" s="8">
        <v>2</v>
      </c>
      <c r="K41" s="69">
        <v>2.25</v>
      </c>
      <c r="M41" s="8">
        <v>37</v>
      </c>
      <c r="N41" s="8" t="s">
        <v>86</v>
      </c>
      <c r="O41" s="8" t="s">
        <v>89</v>
      </c>
      <c r="P41" s="8" t="s">
        <v>89</v>
      </c>
      <c r="Q41" s="8" t="s">
        <v>88</v>
      </c>
      <c r="R41" s="8" t="s">
        <v>89</v>
      </c>
      <c r="S41" s="8" t="s">
        <v>106</v>
      </c>
      <c r="T41" s="8" t="s">
        <v>45</v>
      </c>
      <c r="U41" s="8" t="s">
        <v>101</v>
      </c>
      <c r="V41" s="8" t="s">
        <v>92</v>
      </c>
      <c r="W41" s="8" t="s">
        <v>43</v>
      </c>
    </row>
    <row r="42" spans="2:23" x14ac:dyDescent="0.2">
      <c r="B42" s="8" t="s">
        <v>58</v>
      </c>
      <c r="C42" s="68">
        <v>3.36</v>
      </c>
      <c r="D42" s="8">
        <v>3</v>
      </c>
      <c r="E42" s="8">
        <v>3.5</v>
      </c>
      <c r="F42" s="8">
        <v>4</v>
      </c>
      <c r="G42" s="8">
        <v>3</v>
      </c>
      <c r="H42" s="8">
        <v>3.55</v>
      </c>
      <c r="I42" s="8">
        <v>4</v>
      </c>
      <c r="J42" s="8">
        <v>3</v>
      </c>
      <c r="K42" s="69">
        <v>3.5125000000000002</v>
      </c>
      <c r="M42" s="8">
        <v>38</v>
      </c>
      <c r="N42" s="8" t="s">
        <v>98</v>
      </c>
      <c r="O42" s="8" t="s">
        <v>42</v>
      </c>
      <c r="P42" s="8" t="s">
        <v>42</v>
      </c>
      <c r="Q42" s="8" t="s">
        <v>50</v>
      </c>
      <c r="R42" s="8" t="s">
        <v>106</v>
      </c>
      <c r="S42" s="8" t="s">
        <v>88</v>
      </c>
      <c r="T42" s="8" t="s">
        <v>72</v>
      </c>
      <c r="U42" s="8" t="s">
        <v>80</v>
      </c>
      <c r="V42" s="8" t="s">
        <v>43</v>
      </c>
      <c r="W42" s="8" t="s">
        <v>41</v>
      </c>
    </row>
    <row r="43" spans="2:23" x14ac:dyDescent="0.2">
      <c r="B43" s="8" t="s">
        <v>43</v>
      </c>
      <c r="C43" s="68">
        <v>3.78</v>
      </c>
      <c r="D43" s="8">
        <v>3</v>
      </c>
      <c r="E43" s="8">
        <v>2.5</v>
      </c>
      <c r="F43" s="8">
        <v>3</v>
      </c>
      <c r="G43" s="8">
        <v>4</v>
      </c>
      <c r="H43" s="8">
        <v>3.45</v>
      </c>
      <c r="I43" s="8">
        <v>3</v>
      </c>
      <c r="J43" s="8">
        <v>3</v>
      </c>
      <c r="K43" s="69">
        <v>2.9874999999999998</v>
      </c>
      <c r="M43" s="8">
        <v>39</v>
      </c>
      <c r="N43" s="8" t="s">
        <v>62</v>
      </c>
      <c r="O43" s="8" t="s">
        <v>106</v>
      </c>
      <c r="P43" s="8" t="s">
        <v>106</v>
      </c>
      <c r="Q43" s="8" t="s">
        <v>92</v>
      </c>
      <c r="R43" s="8" t="s">
        <v>88</v>
      </c>
      <c r="S43" s="8" t="s">
        <v>50</v>
      </c>
      <c r="T43" s="8" t="s">
        <v>88</v>
      </c>
      <c r="U43" s="8" t="s">
        <v>110</v>
      </c>
      <c r="V43" s="8" t="s">
        <v>89</v>
      </c>
      <c r="W43" s="8" t="s">
        <v>80</v>
      </c>
    </row>
    <row r="44" spans="2:23" x14ac:dyDescent="0.2">
      <c r="B44" s="8" t="s">
        <v>55</v>
      </c>
      <c r="C44" s="68">
        <v>3.5</v>
      </c>
      <c r="D44" s="8">
        <v>2</v>
      </c>
      <c r="E44" s="8">
        <v>2.5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69">
        <v>2.875</v>
      </c>
      <c r="M44" s="8">
        <v>40</v>
      </c>
      <c r="N44" s="8" t="s">
        <v>85</v>
      </c>
      <c r="O44" s="8" t="s">
        <v>67</v>
      </c>
      <c r="P44" s="8" t="s">
        <v>67</v>
      </c>
      <c r="Q44" s="8" t="s">
        <v>43</v>
      </c>
      <c r="R44" s="8" t="s">
        <v>50</v>
      </c>
      <c r="S44" s="8" t="s">
        <v>92</v>
      </c>
      <c r="T44" s="8" t="s">
        <v>55</v>
      </c>
      <c r="U44" s="8" t="s">
        <v>65</v>
      </c>
      <c r="V44" s="8" t="s">
        <v>50</v>
      </c>
      <c r="W44" s="8" t="s">
        <v>101</v>
      </c>
    </row>
    <row r="45" spans="2:23" x14ac:dyDescent="0.2">
      <c r="B45" s="8" t="s">
        <v>65</v>
      </c>
      <c r="C45" s="68">
        <v>3.19</v>
      </c>
      <c r="D45" s="8">
        <v>5</v>
      </c>
      <c r="E45" s="8">
        <v>4.5</v>
      </c>
      <c r="F45" s="8">
        <v>3</v>
      </c>
      <c r="G45" s="8">
        <v>4</v>
      </c>
      <c r="H45" s="8">
        <v>3.45</v>
      </c>
      <c r="I45" s="8">
        <v>2</v>
      </c>
      <c r="J45" s="8">
        <v>3</v>
      </c>
      <c r="K45" s="69">
        <v>3.2374999999999998</v>
      </c>
      <c r="M45" s="8">
        <v>41</v>
      </c>
      <c r="N45" s="8" t="s">
        <v>55</v>
      </c>
      <c r="O45" s="8" t="s">
        <v>77</v>
      </c>
      <c r="P45" s="8" t="s">
        <v>77</v>
      </c>
      <c r="Q45" s="8" t="s">
        <v>83</v>
      </c>
      <c r="R45" s="8" t="s">
        <v>92</v>
      </c>
      <c r="S45" s="8" t="s">
        <v>83</v>
      </c>
      <c r="T45" s="8" t="s">
        <v>93</v>
      </c>
      <c r="U45" s="8" t="s">
        <v>107</v>
      </c>
      <c r="V45" s="8" t="s">
        <v>85</v>
      </c>
      <c r="W45" s="8" t="s">
        <v>93</v>
      </c>
    </row>
    <row r="46" spans="2:23" x14ac:dyDescent="0.2">
      <c r="B46" s="8" t="s">
        <v>51</v>
      </c>
      <c r="C46" s="68">
        <v>3.63</v>
      </c>
      <c r="D46" s="8">
        <v>3</v>
      </c>
      <c r="E46" s="8">
        <v>2.5</v>
      </c>
      <c r="F46" s="8">
        <v>4</v>
      </c>
      <c r="G46" s="8">
        <v>4</v>
      </c>
      <c r="H46" s="8">
        <v>4</v>
      </c>
      <c r="I46" s="8">
        <v>4</v>
      </c>
      <c r="J46" s="8">
        <v>4</v>
      </c>
      <c r="K46" s="69">
        <v>3.625</v>
      </c>
      <c r="M46" s="8">
        <v>42</v>
      </c>
      <c r="N46" s="8" t="s">
        <v>93</v>
      </c>
      <c r="O46" s="8" t="s">
        <v>73</v>
      </c>
      <c r="P46" s="8" t="s">
        <v>73</v>
      </c>
      <c r="Q46" s="8" t="s">
        <v>55</v>
      </c>
      <c r="R46" s="8" t="s">
        <v>83</v>
      </c>
      <c r="S46" s="8" t="s">
        <v>55</v>
      </c>
      <c r="T46" s="8" t="s">
        <v>101</v>
      </c>
      <c r="U46" s="8" t="s">
        <v>92</v>
      </c>
      <c r="V46" s="8" t="s">
        <v>75</v>
      </c>
      <c r="W46" s="8" t="s">
        <v>55</v>
      </c>
    </row>
    <row r="47" spans="2:23" x14ac:dyDescent="0.2">
      <c r="B47" s="8" t="s">
        <v>89</v>
      </c>
      <c r="C47" s="68">
        <v>3.52</v>
      </c>
      <c r="D47" s="8">
        <v>3</v>
      </c>
      <c r="E47" s="8">
        <v>3</v>
      </c>
      <c r="F47" s="8">
        <v>3</v>
      </c>
      <c r="G47" s="8">
        <v>3</v>
      </c>
      <c r="H47" s="8">
        <v>3</v>
      </c>
      <c r="I47" s="8">
        <v>4</v>
      </c>
      <c r="J47" s="8">
        <v>3</v>
      </c>
      <c r="K47" s="69">
        <v>3.25</v>
      </c>
      <c r="M47" s="8">
        <v>43</v>
      </c>
      <c r="N47" s="8" t="s">
        <v>59</v>
      </c>
      <c r="O47" s="8" t="s">
        <v>110</v>
      </c>
      <c r="P47" s="8" t="s">
        <v>110</v>
      </c>
      <c r="Q47" s="8" t="s">
        <v>93</v>
      </c>
      <c r="R47" s="8" t="s">
        <v>55</v>
      </c>
      <c r="S47" s="8" t="s">
        <v>93</v>
      </c>
      <c r="T47" s="8" t="s">
        <v>80</v>
      </c>
      <c r="U47" s="8" t="s">
        <v>83</v>
      </c>
      <c r="V47" s="8" t="s">
        <v>106</v>
      </c>
      <c r="W47" s="8" t="s">
        <v>72</v>
      </c>
    </row>
    <row r="48" spans="2:23" x14ac:dyDescent="0.2">
      <c r="B48" s="8" t="s">
        <v>68</v>
      </c>
      <c r="C48" s="68">
        <v>3.41</v>
      </c>
      <c r="D48" s="8">
        <v>3</v>
      </c>
      <c r="E48" s="8">
        <v>3</v>
      </c>
      <c r="F48" s="8">
        <v>2</v>
      </c>
      <c r="G48" s="8">
        <v>3</v>
      </c>
      <c r="H48" s="8">
        <v>2.4500000000000002</v>
      </c>
      <c r="I48" s="8">
        <v>3</v>
      </c>
      <c r="J48" s="8">
        <v>2</v>
      </c>
      <c r="K48" s="69">
        <v>2.6124999999999998</v>
      </c>
      <c r="M48" s="8">
        <v>44</v>
      </c>
      <c r="N48" s="8" t="s">
        <v>101</v>
      </c>
      <c r="O48" s="8" t="s">
        <v>51</v>
      </c>
      <c r="P48" s="8" t="s">
        <v>114</v>
      </c>
      <c r="Q48" s="8" t="s">
        <v>101</v>
      </c>
      <c r="R48" s="8" t="s">
        <v>93</v>
      </c>
      <c r="S48" s="8" t="s">
        <v>101</v>
      </c>
      <c r="T48" s="8" t="s">
        <v>68</v>
      </c>
      <c r="U48" s="8" t="s">
        <v>114</v>
      </c>
      <c r="V48" s="8" t="s">
        <v>104</v>
      </c>
      <c r="W48" s="8" t="s">
        <v>113</v>
      </c>
    </row>
    <row r="49" spans="2:23" x14ac:dyDescent="0.2">
      <c r="B49" s="8" t="s">
        <v>96</v>
      </c>
      <c r="C49" s="68">
        <v>3.3</v>
      </c>
      <c r="D49" s="8">
        <v>3</v>
      </c>
      <c r="E49" s="8">
        <v>3.5</v>
      </c>
      <c r="F49" s="8">
        <v>3</v>
      </c>
      <c r="G49" s="8">
        <v>3</v>
      </c>
      <c r="H49" s="8">
        <v>3</v>
      </c>
      <c r="I49" s="8">
        <v>4</v>
      </c>
      <c r="J49" s="8">
        <v>4</v>
      </c>
      <c r="K49" s="69">
        <v>3.625</v>
      </c>
      <c r="M49" s="8">
        <v>45</v>
      </c>
      <c r="N49" s="8" t="s">
        <v>89</v>
      </c>
      <c r="O49" s="8" t="s">
        <v>88</v>
      </c>
      <c r="P49" s="8" t="s">
        <v>51</v>
      </c>
      <c r="Q49" s="8" t="s">
        <v>41</v>
      </c>
      <c r="R49" s="8" t="s">
        <v>101</v>
      </c>
      <c r="S49" s="8" t="s">
        <v>81</v>
      </c>
      <c r="T49" s="8" t="s">
        <v>110</v>
      </c>
      <c r="U49" s="8" t="s">
        <v>56</v>
      </c>
      <c r="V49" s="8" t="s">
        <v>76</v>
      </c>
      <c r="W49" s="8" t="s">
        <v>110</v>
      </c>
    </row>
    <row r="50" spans="2:23" x14ac:dyDescent="0.2">
      <c r="B50" s="8" t="s">
        <v>54</v>
      </c>
      <c r="C50" s="68">
        <v>4</v>
      </c>
      <c r="D50" s="8">
        <v>3</v>
      </c>
      <c r="E50" s="8">
        <v>2</v>
      </c>
      <c r="F50" s="8">
        <v>1</v>
      </c>
      <c r="G50" s="8">
        <v>3</v>
      </c>
      <c r="H50" s="8">
        <v>1.9</v>
      </c>
      <c r="I50" s="8">
        <v>2</v>
      </c>
      <c r="J50" s="8">
        <v>2</v>
      </c>
      <c r="K50" s="69">
        <v>1.9750000000000001</v>
      </c>
      <c r="M50" s="8">
        <v>46</v>
      </c>
      <c r="N50" s="8" t="s">
        <v>41</v>
      </c>
      <c r="O50" s="8" t="s">
        <v>50</v>
      </c>
      <c r="P50" s="8" t="s">
        <v>88</v>
      </c>
      <c r="Q50" s="8" t="s">
        <v>75</v>
      </c>
      <c r="R50" s="8" t="s">
        <v>81</v>
      </c>
      <c r="S50" s="8" t="s">
        <v>103</v>
      </c>
      <c r="T50" s="8" t="s">
        <v>70</v>
      </c>
      <c r="U50" s="8" t="s">
        <v>71</v>
      </c>
      <c r="V50" s="8" t="s">
        <v>71</v>
      </c>
      <c r="W50" s="8" t="s">
        <v>47</v>
      </c>
    </row>
    <row r="51" spans="2:23" x14ac:dyDescent="0.2">
      <c r="B51" s="8" t="s">
        <v>114</v>
      </c>
      <c r="C51" s="68">
        <v>3.38836</v>
      </c>
      <c r="D51" s="8">
        <v>2</v>
      </c>
      <c r="E51" s="8">
        <v>3</v>
      </c>
      <c r="F51" s="8">
        <v>2</v>
      </c>
      <c r="G51" s="8">
        <v>3</v>
      </c>
      <c r="H51" s="8">
        <v>2.4500000000000002</v>
      </c>
      <c r="I51" s="8">
        <v>2</v>
      </c>
      <c r="J51" s="8">
        <v>3</v>
      </c>
      <c r="K51" s="69">
        <v>2.6124999999999998</v>
      </c>
      <c r="M51" s="8">
        <v>47</v>
      </c>
      <c r="N51" s="8" t="s">
        <v>42</v>
      </c>
      <c r="O51" s="8" t="s">
        <v>84</v>
      </c>
      <c r="P51" s="8" t="s">
        <v>50</v>
      </c>
      <c r="Q51" s="8" t="s">
        <v>49</v>
      </c>
      <c r="R51" s="8" t="s">
        <v>64</v>
      </c>
      <c r="S51" s="8" t="s">
        <v>98</v>
      </c>
      <c r="T51" s="8" t="s">
        <v>61</v>
      </c>
      <c r="U51" s="8" t="s">
        <v>91</v>
      </c>
      <c r="V51" s="8" t="s">
        <v>41</v>
      </c>
      <c r="W51" s="8" t="s">
        <v>74</v>
      </c>
    </row>
    <row r="52" spans="2:23" x14ac:dyDescent="0.2">
      <c r="B52" s="8" t="s">
        <v>82</v>
      </c>
      <c r="C52" s="68">
        <v>3.81</v>
      </c>
      <c r="D52" s="8">
        <v>2</v>
      </c>
      <c r="E52" s="8">
        <v>2</v>
      </c>
      <c r="F52" s="8">
        <v>2</v>
      </c>
      <c r="G52" s="8">
        <v>2</v>
      </c>
      <c r="H52" s="8">
        <v>2</v>
      </c>
      <c r="I52" s="8">
        <v>2</v>
      </c>
      <c r="J52" s="8">
        <v>2</v>
      </c>
      <c r="K52" s="69">
        <v>2</v>
      </c>
      <c r="M52" s="8">
        <v>48</v>
      </c>
      <c r="N52" s="8" t="s">
        <v>106</v>
      </c>
      <c r="O52" s="8" t="s">
        <v>92</v>
      </c>
      <c r="P52" s="8" t="s">
        <v>84</v>
      </c>
      <c r="Q52" s="8" t="s">
        <v>46</v>
      </c>
      <c r="R52" s="8" t="s">
        <v>80</v>
      </c>
      <c r="S52" s="8" t="s">
        <v>84</v>
      </c>
      <c r="T52" s="8" t="s">
        <v>59</v>
      </c>
      <c r="U52" s="8" t="s">
        <v>72</v>
      </c>
      <c r="V52" s="8" t="s">
        <v>53</v>
      </c>
      <c r="W52" s="8" t="s">
        <v>64</v>
      </c>
    </row>
    <row r="53" spans="2:23" x14ac:dyDescent="0.2">
      <c r="B53" s="8" t="s">
        <v>113</v>
      </c>
      <c r="C53" s="68">
        <v>3.1282300000000003</v>
      </c>
      <c r="D53" s="8">
        <v>4</v>
      </c>
      <c r="E53" s="8">
        <v>4.5</v>
      </c>
      <c r="F53" s="8">
        <v>3</v>
      </c>
      <c r="G53" s="8">
        <v>3</v>
      </c>
      <c r="H53" s="8">
        <v>3</v>
      </c>
      <c r="I53" s="8">
        <v>2</v>
      </c>
      <c r="J53" s="8">
        <v>2</v>
      </c>
      <c r="K53" s="69">
        <v>2.875</v>
      </c>
      <c r="M53" s="8">
        <v>49</v>
      </c>
      <c r="N53" s="8" t="s">
        <v>67</v>
      </c>
      <c r="O53" s="8" t="s">
        <v>43</v>
      </c>
      <c r="P53" s="8" t="s">
        <v>92</v>
      </c>
      <c r="Q53" s="8" t="s">
        <v>81</v>
      </c>
      <c r="R53" s="8" t="s">
        <v>112</v>
      </c>
      <c r="S53" s="8" t="s">
        <v>108</v>
      </c>
      <c r="T53" s="8" t="s">
        <v>87</v>
      </c>
      <c r="U53" s="8" t="s">
        <v>88</v>
      </c>
      <c r="V53" s="8" t="s">
        <v>46</v>
      </c>
      <c r="W53" s="8" t="s">
        <v>103</v>
      </c>
    </row>
    <row r="54" spans="2:23" x14ac:dyDescent="0.2">
      <c r="B54" s="8" t="s">
        <v>50</v>
      </c>
      <c r="C54" s="68">
        <v>3.64</v>
      </c>
      <c r="D54" s="8">
        <v>3</v>
      </c>
      <c r="E54" s="8">
        <v>2.5</v>
      </c>
      <c r="F54" s="8">
        <v>3</v>
      </c>
      <c r="G54" s="8">
        <v>3</v>
      </c>
      <c r="H54" s="8">
        <v>3</v>
      </c>
      <c r="I54" s="8">
        <v>2</v>
      </c>
      <c r="J54" s="8">
        <v>2</v>
      </c>
      <c r="K54" s="69">
        <v>2.375</v>
      </c>
      <c r="M54" s="8">
        <v>50</v>
      </c>
      <c r="N54" s="8" t="s">
        <v>77</v>
      </c>
      <c r="O54" s="8" t="s">
        <v>83</v>
      </c>
      <c r="P54" s="8" t="s">
        <v>43</v>
      </c>
      <c r="Q54" s="8" t="s">
        <v>76</v>
      </c>
      <c r="R54" s="8" t="s">
        <v>38</v>
      </c>
      <c r="S54" s="8" t="s">
        <v>97</v>
      </c>
      <c r="T54" s="8" t="s">
        <v>65</v>
      </c>
      <c r="U54" s="8" t="s">
        <v>68</v>
      </c>
      <c r="V54" s="8" t="s">
        <v>94</v>
      </c>
      <c r="W54" s="8" t="s">
        <v>83</v>
      </c>
    </row>
    <row r="55" spans="2:23" x14ac:dyDescent="0.2">
      <c r="B55" s="8" t="s">
        <v>64</v>
      </c>
      <c r="C55" s="68">
        <v>3.1015500000000005</v>
      </c>
      <c r="D55" s="8">
        <v>4</v>
      </c>
      <c r="E55" s="8">
        <v>4.5</v>
      </c>
      <c r="F55" s="8">
        <v>2</v>
      </c>
      <c r="G55" s="8">
        <v>3</v>
      </c>
      <c r="H55" s="8">
        <v>2.4500000000000002</v>
      </c>
      <c r="I55" s="8">
        <v>2</v>
      </c>
      <c r="J55" s="8">
        <v>2</v>
      </c>
      <c r="K55" s="69">
        <v>2.7374999999999998</v>
      </c>
      <c r="M55" s="8">
        <v>51</v>
      </c>
      <c r="N55" s="8" t="s">
        <v>73</v>
      </c>
      <c r="O55" s="8" t="s">
        <v>46</v>
      </c>
      <c r="P55" s="8" t="s">
        <v>83</v>
      </c>
      <c r="Q55" s="8" t="s">
        <v>64</v>
      </c>
      <c r="R55" s="8" t="s">
        <v>68</v>
      </c>
      <c r="S55" s="8" t="s">
        <v>75</v>
      </c>
      <c r="T55" s="8" t="s">
        <v>47</v>
      </c>
      <c r="U55" s="8" t="s">
        <v>70</v>
      </c>
      <c r="V55" s="8" t="s">
        <v>98</v>
      </c>
      <c r="W55" s="8" t="s">
        <v>92</v>
      </c>
    </row>
    <row r="56" spans="2:23" x14ac:dyDescent="0.2">
      <c r="B56" s="8" t="s">
        <v>85</v>
      </c>
      <c r="C56" s="68">
        <v>3.49</v>
      </c>
      <c r="D56" s="8">
        <v>3</v>
      </c>
      <c r="E56" s="8">
        <v>3</v>
      </c>
      <c r="F56" s="8">
        <v>2</v>
      </c>
      <c r="G56" s="8">
        <v>3</v>
      </c>
      <c r="H56" s="8">
        <v>2.4500000000000002</v>
      </c>
      <c r="I56" s="8">
        <v>4</v>
      </c>
      <c r="J56" s="8">
        <v>3</v>
      </c>
      <c r="K56" s="69">
        <v>3.1124999999999998</v>
      </c>
      <c r="M56" s="8">
        <v>52</v>
      </c>
      <c r="N56" s="8" t="s">
        <v>110</v>
      </c>
      <c r="O56" s="8" t="s">
        <v>90</v>
      </c>
      <c r="P56" s="8" t="s">
        <v>70</v>
      </c>
      <c r="Q56" s="8" t="s">
        <v>109</v>
      </c>
      <c r="R56" s="8" t="s">
        <v>94</v>
      </c>
      <c r="S56" s="8" t="s">
        <v>49</v>
      </c>
      <c r="T56" s="8" t="s">
        <v>46</v>
      </c>
      <c r="U56" s="8" t="s">
        <v>61</v>
      </c>
      <c r="V56" s="8" t="s">
        <v>97</v>
      </c>
      <c r="W56" s="8" t="s">
        <v>88</v>
      </c>
    </row>
    <row r="57" spans="2:23" x14ac:dyDescent="0.2">
      <c r="B57" s="8" t="s">
        <v>109</v>
      </c>
      <c r="C57" s="68">
        <v>3.2082699999999997</v>
      </c>
      <c r="D57" s="8">
        <v>4</v>
      </c>
      <c r="E57" s="8">
        <v>4</v>
      </c>
      <c r="F57" s="8">
        <v>2</v>
      </c>
      <c r="G57" s="8">
        <v>2</v>
      </c>
      <c r="H57" s="8">
        <v>2</v>
      </c>
      <c r="I57" s="8">
        <v>5</v>
      </c>
      <c r="J57" s="8">
        <v>5</v>
      </c>
      <c r="K57" s="69">
        <v>4</v>
      </c>
      <c r="M57" s="8">
        <v>53</v>
      </c>
      <c r="N57" s="8" t="s">
        <v>66</v>
      </c>
      <c r="O57" s="8" t="s">
        <v>54</v>
      </c>
      <c r="P57" s="8" t="s">
        <v>62</v>
      </c>
      <c r="Q57" s="8" t="s">
        <v>103</v>
      </c>
      <c r="R57" s="8" t="s">
        <v>85</v>
      </c>
      <c r="S57" s="8" t="s">
        <v>76</v>
      </c>
      <c r="T57" s="8" t="s">
        <v>107</v>
      </c>
      <c r="U57" s="8" t="s">
        <v>59</v>
      </c>
      <c r="V57" s="8" t="s">
        <v>99</v>
      </c>
      <c r="W57" s="8" t="s">
        <v>68</v>
      </c>
    </row>
    <row r="58" spans="2:23" x14ac:dyDescent="0.2">
      <c r="B58" s="8" t="s">
        <v>107</v>
      </c>
      <c r="C58" s="68">
        <v>3.31</v>
      </c>
      <c r="D58" s="8">
        <v>4</v>
      </c>
      <c r="E58" s="8">
        <v>4</v>
      </c>
      <c r="F58" s="8">
        <v>4</v>
      </c>
      <c r="G58" s="8">
        <v>2</v>
      </c>
      <c r="H58" s="8">
        <v>3.1</v>
      </c>
      <c r="I58" s="8">
        <v>2</v>
      </c>
      <c r="J58" s="8">
        <v>3</v>
      </c>
      <c r="K58" s="69">
        <v>3.0249999999999999</v>
      </c>
      <c r="M58" s="8">
        <v>54</v>
      </c>
      <c r="N58" s="8" t="s">
        <v>75</v>
      </c>
      <c r="O58" s="8" t="s">
        <v>78</v>
      </c>
      <c r="P58" s="8" t="s">
        <v>55</v>
      </c>
      <c r="Q58" s="8" t="s">
        <v>80</v>
      </c>
      <c r="R58" s="8" t="s">
        <v>42</v>
      </c>
      <c r="S58" s="8" t="s">
        <v>64</v>
      </c>
      <c r="T58" s="8" t="s">
        <v>113</v>
      </c>
      <c r="U58" s="8" t="s">
        <v>87</v>
      </c>
      <c r="V58" s="8" t="s">
        <v>42</v>
      </c>
      <c r="W58" s="8" t="s">
        <v>114</v>
      </c>
    </row>
    <row r="59" spans="2:23" x14ac:dyDescent="0.2">
      <c r="B59" s="8" t="s">
        <v>84</v>
      </c>
      <c r="C59" s="68">
        <v>3.72</v>
      </c>
      <c r="D59" s="8">
        <v>3</v>
      </c>
      <c r="E59" s="8">
        <v>2.5</v>
      </c>
      <c r="F59" s="8">
        <v>2</v>
      </c>
      <c r="G59" s="8">
        <v>4</v>
      </c>
      <c r="H59" s="8">
        <v>2.9</v>
      </c>
      <c r="I59" s="8">
        <v>4</v>
      </c>
      <c r="J59" s="8">
        <v>4</v>
      </c>
      <c r="K59" s="69">
        <v>3.35</v>
      </c>
      <c r="M59" s="8">
        <v>55</v>
      </c>
      <c r="N59" s="8" t="s">
        <v>49</v>
      </c>
      <c r="O59" s="8" t="s">
        <v>61</v>
      </c>
      <c r="P59" s="8" t="s">
        <v>93</v>
      </c>
      <c r="Q59" s="8" t="s">
        <v>112</v>
      </c>
      <c r="R59" s="8" t="s">
        <v>110</v>
      </c>
      <c r="S59" s="8" t="s">
        <v>80</v>
      </c>
      <c r="T59" s="8" t="s">
        <v>57</v>
      </c>
      <c r="U59" s="8" t="s">
        <v>47</v>
      </c>
      <c r="V59" s="8" t="s">
        <v>73</v>
      </c>
      <c r="W59" s="8" t="s">
        <v>57</v>
      </c>
    </row>
    <row r="60" spans="2:23" x14ac:dyDescent="0.2">
      <c r="B60" s="8" t="s">
        <v>67</v>
      </c>
      <c r="C60" s="68">
        <v>3.56</v>
      </c>
      <c r="D60" s="8">
        <v>3</v>
      </c>
      <c r="E60" s="8">
        <v>3</v>
      </c>
      <c r="F60" s="8">
        <v>5</v>
      </c>
      <c r="G60" s="8">
        <v>3</v>
      </c>
      <c r="H60" s="8">
        <v>4.0999999999999996</v>
      </c>
      <c r="I60" s="8">
        <v>5</v>
      </c>
      <c r="J60" s="8">
        <v>5</v>
      </c>
      <c r="K60" s="69">
        <v>4.2750000000000004</v>
      </c>
      <c r="M60" s="8">
        <v>56</v>
      </c>
      <c r="N60" s="8" t="s">
        <v>51</v>
      </c>
      <c r="O60" s="8" t="s">
        <v>114</v>
      </c>
      <c r="P60" s="8" t="s">
        <v>59</v>
      </c>
      <c r="Q60" s="8" t="s">
        <v>38</v>
      </c>
      <c r="R60" s="8" t="s">
        <v>114</v>
      </c>
      <c r="S60" s="8" t="s">
        <v>112</v>
      </c>
      <c r="T60" s="8" t="s">
        <v>50</v>
      </c>
      <c r="U60" s="8" t="s">
        <v>46</v>
      </c>
      <c r="V60" s="8" t="s">
        <v>45</v>
      </c>
      <c r="W60" s="8" t="s">
        <v>70</v>
      </c>
    </row>
    <row r="61" spans="2:23" x14ac:dyDescent="0.2">
      <c r="B61" s="8" t="s">
        <v>77</v>
      </c>
      <c r="C61" s="68">
        <v>3.56</v>
      </c>
      <c r="D61" s="8">
        <v>3</v>
      </c>
      <c r="E61" s="8">
        <v>3</v>
      </c>
      <c r="F61" s="8">
        <v>4</v>
      </c>
      <c r="G61" s="8">
        <v>2</v>
      </c>
      <c r="H61" s="8">
        <v>3.1</v>
      </c>
      <c r="I61" s="8">
        <v>5</v>
      </c>
      <c r="J61" s="8">
        <v>5</v>
      </c>
      <c r="K61" s="69">
        <v>4.0250000000000004</v>
      </c>
      <c r="M61" s="8">
        <v>57</v>
      </c>
      <c r="N61" s="8" t="s">
        <v>88</v>
      </c>
      <c r="O61" s="8" t="s">
        <v>70</v>
      </c>
      <c r="P61" s="8" t="s">
        <v>101</v>
      </c>
      <c r="Q61" s="8" t="s">
        <v>68</v>
      </c>
      <c r="R61" s="8" t="s">
        <v>70</v>
      </c>
      <c r="S61" s="8" t="s">
        <v>38</v>
      </c>
      <c r="T61" s="8" t="s">
        <v>92</v>
      </c>
      <c r="U61" s="8" t="s">
        <v>113</v>
      </c>
      <c r="V61" s="8" t="s">
        <v>79</v>
      </c>
      <c r="W61" s="8" t="s">
        <v>112</v>
      </c>
    </row>
    <row r="62" spans="2:23" x14ac:dyDescent="0.2">
      <c r="B62" s="8" t="s">
        <v>87</v>
      </c>
      <c r="C62" s="68">
        <v>3.72</v>
      </c>
      <c r="D62" s="8">
        <v>2</v>
      </c>
      <c r="E62" s="8">
        <v>2</v>
      </c>
      <c r="F62" s="8">
        <v>4</v>
      </c>
      <c r="G62" s="8">
        <v>3</v>
      </c>
      <c r="H62" s="8">
        <v>3.55</v>
      </c>
      <c r="I62" s="8">
        <v>2</v>
      </c>
      <c r="J62" s="8">
        <v>2</v>
      </c>
      <c r="K62" s="69">
        <v>2.3875000000000002</v>
      </c>
      <c r="M62" s="8">
        <v>58</v>
      </c>
      <c r="N62" s="8" t="s">
        <v>50</v>
      </c>
      <c r="O62" s="8" t="s">
        <v>62</v>
      </c>
      <c r="P62" s="8" t="s">
        <v>41</v>
      </c>
      <c r="Q62" s="8" t="s">
        <v>94</v>
      </c>
      <c r="R62" s="8" t="s">
        <v>62</v>
      </c>
      <c r="S62" s="8" t="s">
        <v>68</v>
      </c>
      <c r="T62" s="8" t="s">
        <v>83</v>
      </c>
      <c r="U62" s="8" t="s">
        <v>57</v>
      </c>
      <c r="V62" s="8" t="s">
        <v>88</v>
      </c>
      <c r="W62" s="8" t="s">
        <v>98</v>
      </c>
    </row>
    <row r="63" spans="2:23" x14ac:dyDescent="0.2">
      <c r="B63" s="8" t="s">
        <v>102</v>
      </c>
      <c r="C63" s="68">
        <v>3.3</v>
      </c>
      <c r="D63" s="8">
        <v>3</v>
      </c>
      <c r="E63" s="8">
        <v>3.5</v>
      </c>
      <c r="F63" s="8">
        <v>4</v>
      </c>
      <c r="G63" s="8">
        <v>3</v>
      </c>
      <c r="H63" s="8">
        <v>3.55</v>
      </c>
      <c r="I63" s="8">
        <v>4</v>
      </c>
      <c r="J63" s="8">
        <v>3</v>
      </c>
      <c r="K63" s="69">
        <v>3.5125000000000002</v>
      </c>
      <c r="M63" s="8">
        <v>59</v>
      </c>
      <c r="N63" s="8" t="s">
        <v>74</v>
      </c>
      <c r="O63" s="8" t="s">
        <v>55</v>
      </c>
      <c r="P63" s="8" t="s">
        <v>66</v>
      </c>
      <c r="Q63" s="8" t="s">
        <v>98</v>
      </c>
      <c r="R63" s="8" t="s">
        <v>53</v>
      </c>
      <c r="S63" s="8" t="s">
        <v>94</v>
      </c>
      <c r="T63" s="8" t="s">
        <v>81</v>
      </c>
      <c r="U63" s="8" t="s">
        <v>50</v>
      </c>
      <c r="V63" s="8" t="s">
        <v>103</v>
      </c>
      <c r="W63" s="8" t="s">
        <v>87</v>
      </c>
    </row>
    <row r="64" spans="2:23" x14ac:dyDescent="0.2">
      <c r="B64" s="8" t="s">
        <v>75</v>
      </c>
      <c r="C64" s="68">
        <v>3.61</v>
      </c>
      <c r="D64" s="8">
        <v>2</v>
      </c>
      <c r="E64" s="8">
        <v>2.5</v>
      </c>
      <c r="F64" s="8">
        <v>3</v>
      </c>
      <c r="G64" s="8">
        <v>2</v>
      </c>
      <c r="H64" s="8">
        <v>2.5499999999999998</v>
      </c>
      <c r="I64" s="8">
        <v>4</v>
      </c>
      <c r="J64" s="8">
        <v>3</v>
      </c>
      <c r="K64" s="69">
        <v>3.0125000000000002</v>
      </c>
      <c r="M64" s="8">
        <v>60</v>
      </c>
      <c r="N64" s="8" t="s">
        <v>48</v>
      </c>
      <c r="O64" s="8" t="s">
        <v>93</v>
      </c>
      <c r="P64" s="8" t="s">
        <v>75</v>
      </c>
      <c r="Q64" s="8" t="s">
        <v>85</v>
      </c>
      <c r="R64" s="8" t="s">
        <v>105</v>
      </c>
      <c r="S64" s="8" t="s">
        <v>85</v>
      </c>
      <c r="T64" s="8" t="s">
        <v>103</v>
      </c>
      <c r="U64" s="8" t="s">
        <v>81</v>
      </c>
      <c r="V64" s="8" t="s">
        <v>61</v>
      </c>
      <c r="W64" s="8" t="s">
        <v>50</v>
      </c>
    </row>
    <row r="65" spans="2:23" x14ac:dyDescent="0.2">
      <c r="B65" s="8" t="s">
        <v>72</v>
      </c>
      <c r="C65" s="68">
        <v>3.28</v>
      </c>
      <c r="D65" s="8">
        <v>3</v>
      </c>
      <c r="E65" s="8">
        <v>3.5</v>
      </c>
      <c r="F65" s="8">
        <v>3</v>
      </c>
      <c r="G65" s="8">
        <v>3</v>
      </c>
      <c r="H65" s="8">
        <v>3</v>
      </c>
      <c r="I65" s="8">
        <v>3</v>
      </c>
      <c r="J65" s="8">
        <v>2</v>
      </c>
      <c r="K65" s="69">
        <v>2.875</v>
      </c>
      <c r="M65" s="8">
        <v>61</v>
      </c>
      <c r="N65" s="8" t="s">
        <v>84</v>
      </c>
      <c r="O65" s="8" t="s">
        <v>59</v>
      </c>
      <c r="P65" s="8" t="s">
        <v>49</v>
      </c>
      <c r="Q65" s="8" t="s">
        <v>42</v>
      </c>
      <c r="R65" s="8" t="s">
        <v>59</v>
      </c>
      <c r="S65" s="8" t="s">
        <v>42</v>
      </c>
      <c r="T65" s="8" t="s">
        <v>98</v>
      </c>
      <c r="U65" s="8" t="s">
        <v>103</v>
      </c>
      <c r="V65" s="8" t="s">
        <v>62</v>
      </c>
      <c r="W65" s="8" t="s">
        <v>46</v>
      </c>
    </row>
    <row r="66" spans="2:23" x14ac:dyDescent="0.2">
      <c r="B66" s="8" t="s">
        <v>110</v>
      </c>
      <c r="C66" s="68">
        <v>3.5684499999999999</v>
      </c>
      <c r="D66" s="8">
        <v>3</v>
      </c>
      <c r="E66" s="8">
        <v>3</v>
      </c>
      <c r="F66" s="8">
        <v>2</v>
      </c>
      <c r="G66" s="8">
        <v>3</v>
      </c>
      <c r="H66" s="8">
        <v>2.4500000000000002</v>
      </c>
      <c r="I66" s="8">
        <v>3</v>
      </c>
      <c r="J66" s="8">
        <v>3</v>
      </c>
      <c r="K66" s="69">
        <v>2.8624999999999998</v>
      </c>
      <c r="M66" s="8">
        <v>62</v>
      </c>
      <c r="N66" s="8" t="s">
        <v>87</v>
      </c>
      <c r="O66" s="8" t="s">
        <v>101</v>
      </c>
      <c r="P66" s="8" t="s">
        <v>46</v>
      </c>
      <c r="Q66" s="8" t="s">
        <v>73</v>
      </c>
      <c r="R66" s="8" t="s">
        <v>54</v>
      </c>
      <c r="S66" s="8" t="s">
        <v>110</v>
      </c>
      <c r="T66" s="8" t="s">
        <v>49</v>
      </c>
      <c r="U66" s="8" t="s">
        <v>98</v>
      </c>
      <c r="V66" s="8" t="s">
        <v>69</v>
      </c>
      <c r="W66" s="8" t="s">
        <v>42</v>
      </c>
    </row>
    <row r="67" spans="2:23" x14ac:dyDescent="0.2">
      <c r="B67" s="8" t="s">
        <v>73</v>
      </c>
      <c r="C67" s="68">
        <v>3.56</v>
      </c>
      <c r="D67" s="8">
        <v>3</v>
      </c>
      <c r="E67" s="8">
        <v>3</v>
      </c>
      <c r="F67" s="8">
        <v>2</v>
      </c>
      <c r="G67" s="8">
        <v>1</v>
      </c>
      <c r="H67" s="8">
        <v>1.55</v>
      </c>
      <c r="I67" s="8">
        <v>2</v>
      </c>
      <c r="J67" s="8">
        <v>2</v>
      </c>
      <c r="K67" s="69">
        <v>2.1375000000000002</v>
      </c>
      <c r="M67" s="8">
        <v>63</v>
      </c>
      <c r="N67" s="8" t="s">
        <v>92</v>
      </c>
      <c r="O67" s="8" t="s">
        <v>41</v>
      </c>
      <c r="P67" s="8" t="s">
        <v>90</v>
      </c>
      <c r="Q67" s="8" t="s">
        <v>110</v>
      </c>
      <c r="R67" s="8" t="s">
        <v>107</v>
      </c>
      <c r="S67" s="8" t="s">
        <v>114</v>
      </c>
      <c r="T67" s="8" t="s">
        <v>76</v>
      </c>
      <c r="U67" s="8" t="s">
        <v>49</v>
      </c>
      <c r="V67" s="8" t="s">
        <v>81</v>
      </c>
      <c r="W67" s="8" t="s">
        <v>94</v>
      </c>
    </row>
    <row r="68" spans="2:23" x14ac:dyDescent="0.2">
      <c r="B68" s="8" t="s">
        <v>45</v>
      </c>
      <c r="C68" s="68">
        <v>3.4</v>
      </c>
      <c r="D68" s="8">
        <v>4</v>
      </c>
      <c r="E68" s="8">
        <v>3.5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69">
        <v>3.125</v>
      </c>
      <c r="M68" s="8">
        <v>64</v>
      </c>
      <c r="N68" s="8" t="s">
        <v>40</v>
      </c>
      <c r="O68" s="8" t="s">
        <v>66</v>
      </c>
      <c r="P68" s="8" t="s">
        <v>54</v>
      </c>
      <c r="Q68" s="8" t="s">
        <v>114</v>
      </c>
      <c r="R68" s="8" t="s">
        <v>77</v>
      </c>
      <c r="S68" s="8" t="s">
        <v>70</v>
      </c>
      <c r="T68" s="8" t="s">
        <v>64</v>
      </c>
      <c r="U68" s="8" t="s">
        <v>76</v>
      </c>
      <c r="V68" s="8" t="s">
        <v>68</v>
      </c>
      <c r="W68" s="8" t="s">
        <v>38</v>
      </c>
    </row>
    <row r="69" spans="2:23" x14ac:dyDescent="0.2">
      <c r="B69" s="8" t="s">
        <v>79</v>
      </c>
      <c r="C69" s="68">
        <v>3.82</v>
      </c>
      <c r="D69" s="8">
        <v>2</v>
      </c>
      <c r="E69" s="8">
        <v>2</v>
      </c>
      <c r="F69" s="8">
        <v>4</v>
      </c>
      <c r="G69" s="8">
        <v>4</v>
      </c>
      <c r="H69" s="8">
        <v>4</v>
      </c>
      <c r="I69" s="8">
        <v>3</v>
      </c>
      <c r="J69" s="8">
        <v>3</v>
      </c>
      <c r="K69" s="69">
        <v>3</v>
      </c>
      <c r="M69" s="8">
        <v>65</v>
      </c>
      <c r="N69" s="8" t="s">
        <v>81</v>
      </c>
      <c r="O69" s="8" t="s">
        <v>75</v>
      </c>
      <c r="P69" s="8" t="s">
        <v>78</v>
      </c>
      <c r="Q69" s="8" t="s">
        <v>84</v>
      </c>
      <c r="R69" s="8" t="s">
        <v>108</v>
      </c>
      <c r="S69" s="8" t="s">
        <v>62</v>
      </c>
      <c r="T69" s="8" t="s">
        <v>112</v>
      </c>
      <c r="U69" s="8" t="s">
        <v>64</v>
      </c>
      <c r="V69" s="8" t="s">
        <v>113</v>
      </c>
      <c r="W69" s="8" t="s">
        <v>59</v>
      </c>
    </row>
    <row r="70" spans="2:23" x14ac:dyDescent="0.2">
      <c r="B70" s="8" t="s">
        <v>88</v>
      </c>
      <c r="C70" s="68">
        <v>3.63</v>
      </c>
      <c r="D70" s="8">
        <v>3</v>
      </c>
      <c r="E70" s="8">
        <v>2.5</v>
      </c>
      <c r="F70" s="8">
        <v>3</v>
      </c>
      <c r="G70" s="8">
        <v>3</v>
      </c>
      <c r="H70" s="8">
        <v>3</v>
      </c>
      <c r="I70" s="8">
        <v>3</v>
      </c>
      <c r="J70" s="8">
        <v>2</v>
      </c>
      <c r="K70" s="69">
        <v>2.625</v>
      </c>
      <c r="M70" s="8">
        <v>66</v>
      </c>
      <c r="N70" s="8" t="s">
        <v>43</v>
      </c>
      <c r="O70" s="8" t="s">
        <v>49</v>
      </c>
      <c r="P70" s="8" t="s">
        <v>61</v>
      </c>
      <c r="Q70" s="8" t="s">
        <v>70</v>
      </c>
      <c r="R70" s="8" t="s">
        <v>97</v>
      </c>
      <c r="S70" s="8" t="s">
        <v>53</v>
      </c>
      <c r="T70" s="8" t="s">
        <v>38</v>
      </c>
      <c r="U70" s="8" t="s">
        <v>112</v>
      </c>
      <c r="V70" s="8" t="s">
        <v>64</v>
      </c>
      <c r="W70" s="8" t="s">
        <v>49</v>
      </c>
    </row>
    <row r="71" spans="2:23" x14ac:dyDescent="0.2">
      <c r="B71" s="8" t="s">
        <v>95</v>
      </c>
      <c r="C71" s="68">
        <v>3.28</v>
      </c>
      <c r="D71" s="8">
        <v>4</v>
      </c>
      <c r="E71" s="8">
        <v>4</v>
      </c>
      <c r="F71" s="8">
        <v>4</v>
      </c>
      <c r="G71" s="8">
        <v>3</v>
      </c>
      <c r="H71" s="8">
        <v>3.55</v>
      </c>
      <c r="I71" s="8">
        <v>3</v>
      </c>
      <c r="J71" s="8">
        <v>3</v>
      </c>
      <c r="K71" s="69">
        <v>3.3875000000000002</v>
      </c>
      <c r="M71" s="8">
        <v>67</v>
      </c>
      <c r="N71" s="8" t="s">
        <v>83</v>
      </c>
      <c r="O71" s="8" t="s">
        <v>74</v>
      </c>
      <c r="P71" s="8" t="s">
        <v>74</v>
      </c>
      <c r="Q71" s="8" t="s">
        <v>62</v>
      </c>
      <c r="R71" s="8" t="s">
        <v>75</v>
      </c>
      <c r="S71" s="8" t="s">
        <v>109</v>
      </c>
      <c r="T71" s="8" t="s">
        <v>94</v>
      </c>
      <c r="U71" s="8" t="s">
        <v>38</v>
      </c>
      <c r="V71" s="8" t="s">
        <v>87</v>
      </c>
      <c r="W71" s="8" t="s">
        <v>61</v>
      </c>
    </row>
    <row r="72" spans="2:23" x14ac:dyDescent="0.2">
      <c r="B72" s="8" t="s">
        <v>105</v>
      </c>
      <c r="C72" s="68">
        <v>3.35</v>
      </c>
      <c r="D72" s="8">
        <v>3</v>
      </c>
      <c r="E72" s="8">
        <v>3.5</v>
      </c>
      <c r="F72" s="8">
        <v>1</v>
      </c>
      <c r="G72" s="8">
        <v>3</v>
      </c>
      <c r="H72" s="8">
        <v>1.9</v>
      </c>
      <c r="I72" s="8">
        <v>4</v>
      </c>
      <c r="J72" s="8">
        <v>3</v>
      </c>
      <c r="K72" s="69">
        <v>3.1</v>
      </c>
      <c r="M72" s="8">
        <v>68</v>
      </c>
      <c r="N72" s="8" t="s">
        <v>82</v>
      </c>
      <c r="O72" s="8" t="s">
        <v>48</v>
      </c>
      <c r="P72" s="8" t="s">
        <v>48</v>
      </c>
      <c r="Q72" s="8" t="s">
        <v>61</v>
      </c>
      <c r="R72" s="8" t="s">
        <v>49</v>
      </c>
      <c r="S72" s="8" t="s">
        <v>61</v>
      </c>
      <c r="T72" s="8" t="s">
        <v>42</v>
      </c>
      <c r="U72" s="8" t="s">
        <v>94</v>
      </c>
      <c r="V72" s="8" t="s">
        <v>105</v>
      </c>
      <c r="W72" s="8" t="s">
        <v>81</v>
      </c>
    </row>
    <row r="73" spans="2:23" x14ac:dyDescent="0.2">
      <c r="B73" s="8" t="s">
        <v>80</v>
      </c>
      <c r="C73" s="68">
        <v>3.4</v>
      </c>
      <c r="D73" s="8">
        <v>4</v>
      </c>
      <c r="E73" s="8">
        <v>3.5</v>
      </c>
      <c r="F73" s="8">
        <v>2</v>
      </c>
      <c r="G73" s="8">
        <v>3</v>
      </c>
      <c r="H73" s="8">
        <v>2.4500000000000002</v>
      </c>
      <c r="I73" s="8">
        <v>3</v>
      </c>
      <c r="J73" s="8">
        <v>3</v>
      </c>
      <c r="K73" s="69">
        <v>2.9874999999999998</v>
      </c>
      <c r="M73" s="8">
        <v>69</v>
      </c>
      <c r="N73" s="8" t="s">
        <v>76</v>
      </c>
      <c r="O73" s="8" t="s">
        <v>87</v>
      </c>
      <c r="P73" s="8" t="s">
        <v>87</v>
      </c>
      <c r="Q73" s="8" t="s">
        <v>74</v>
      </c>
      <c r="R73" s="8" t="s">
        <v>76</v>
      </c>
      <c r="S73" s="8" t="s">
        <v>74</v>
      </c>
      <c r="T73" s="8" t="s">
        <v>114</v>
      </c>
      <c r="U73" s="8" t="s">
        <v>42</v>
      </c>
      <c r="V73" s="8" t="s">
        <v>49</v>
      </c>
      <c r="W73" s="8" t="s">
        <v>62</v>
      </c>
    </row>
    <row r="74" spans="2:23" x14ac:dyDescent="0.2">
      <c r="B74" s="8" t="s">
        <v>49</v>
      </c>
      <c r="C74" s="68">
        <v>3.61</v>
      </c>
      <c r="D74" s="8">
        <v>2</v>
      </c>
      <c r="E74" s="8">
        <v>2.5</v>
      </c>
      <c r="F74" s="8">
        <v>3</v>
      </c>
      <c r="G74" s="8">
        <v>2</v>
      </c>
      <c r="H74" s="8">
        <v>2.5499999999999998</v>
      </c>
      <c r="I74" s="8">
        <v>2</v>
      </c>
      <c r="J74" s="8">
        <v>2</v>
      </c>
      <c r="K74" s="69">
        <v>2.2625000000000002</v>
      </c>
      <c r="M74" s="8">
        <v>70</v>
      </c>
      <c r="N74" s="8" t="s">
        <v>79</v>
      </c>
      <c r="O74" s="8" t="s">
        <v>81</v>
      </c>
      <c r="P74" s="8" t="s">
        <v>81</v>
      </c>
      <c r="Q74" s="8" t="s">
        <v>82</v>
      </c>
      <c r="R74" s="8" t="s">
        <v>109</v>
      </c>
      <c r="S74" s="8" t="s">
        <v>82</v>
      </c>
      <c r="T74" s="8" t="s">
        <v>62</v>
      </c>
      <c r="U74" s="8" t="s">
        <v>62</v>
      </c>
      <c r="V74" s="8" t="s">
        <v>54</v>
      </c>
      <c r="W74" s="8" t="s">
        <v>76</v>
      </c>
    </row>
    <row r="75" spans="2:23" x14ac:dyDescent="0.2">
      <c r="B75" s="8" t="s">
        <v>106</v>
      </c>
      <c r="C75" s="68">
        <v>3.54</v>
      </c>
      <c r="D75" s="8">
        <v>3</v>
      </c>
      <c r="E75" s="8">
        <v>3</v>
      </c>
      <c r="F75" s="8">
        <v>3</v>
      </c>
      <c r="G75" s="8">
        <v>3</v>
      </c>
      <c r="H75" s="8">
        <v>3</v>
      </c>
      <c r="I75" s="8">
        <v>4</v>
      </c>
      <c r="J75" s="8">
        <v>3</v>
      </c>
      <c r="K75" s="69">
        <v>3.25</v>
      </c>
      <c r="M75" s="8">
        <v>71</v>
      </c>
      <c r="N75" s="8" t="s">
        <v>46</v>
      </c>
      <c r="O75" s="8" t="s">
        <v>82</v>
      </c>
      <c r="P75" s="8" t="s">
        <v>82</v>
      </c>
      <c r="Q75" s="8" t="s">
        <v>53</v>
      </c>
      <c r="R75" s="8" t="s">
        <v>61</v>
      </c>
      <c r="S75" s="8" t="s">
        <v>99</v>
      </c>
      <c r="T75" s="8" t="s">
        <v>53</v>
      </c>
      <c r="U75" s="8" t="s">
        <v>53</v>
      </c>
      <c r="V75" s="8" t="s">
        <v>40</v>
      </c>
      <c r="W75" s="8" t="s">
        <v>73</v>
      </c>
    </row>
    <row r="76" spans="2:23" x14ac:dyDescent="0.2">
      <c r="B76" s="8" t="s">
        <v>90</v>
      </c>
      <c r="C76" s="68">
        <v>3.93</v>
      </c>
      <c r="D76" s="8">
        <v>3</v>
      </c>
      <c r="E76" s="8">
        <v>2</v>
      </c>
      <c r="F76" s="8">
        <v>5</v>
      </c>
      <c r="G76" s="8">
        <v>5</v>
      </c>
      <c r="H76" s="8">
        <v>5</v>
      </c>
      <c r="I76" s="8">
        <v>5</v>
      </c>
      <c r="J76" s="8">
        <v>5</v>
      </c>
      <c r="K76" s="69">
        <v>4.25</v>
      </c>
      <c r="M76" s="8">
        <v>72</v>
      </c>
      <c r="N76" s="8" t="s">
        <v>90</v>
      </c>
      <c r="O76" s="8" t="s">
        <v>76</v>
      </c>
      <c r="P76" s="8" t="s">
        <v>76</v>
      </c>
      <c r="Q76" s="8" t="s">
        <v>99</v>
      </c>
      <c r="R76" s="8" t="s">
        <v>74</v>
      </c>
      <c r="S76" s="8" t="s">
        <v>105</v>
      </c>
      <c r="T76" s="8" t="s">
        <v>82</v>
      </c>
      <c r="U76" s="8" t="s">
        <v>82</v>
      </c>
      <c r="V76" s="8" t="s">
        <v>82</v>
      </c>
      <c r="W76" s="8" t="s">
        <v>82</v>
      </c>
    </row>
    <row r="77" spans="2:23" x14ac:dyDescent="0.2">
      <c r="B77" s="8" t="s">
        <v>103</v>
      </c>
      <c r="C77" s="68">
        <v>3.34</v>
      </c>
      <c r="D77" s="8">
        <v>4</v>
      </c>
      <c r="E77" s="8">
        <v>4</v>
      </c>
      <c r="F77" s="8">
        <v>2</v>
      </c>
      <c r="G77" s="8">
        <v>4</v>
      </c>
      <c r="H77" s="8">
        <v>2.9</v>
      </c>
      <c r="I77" s="8">
        <v>2</v>
      </c>
      <c r="J77" s="8">
        <v>2</v>
      </c>
      <c r="K77" s="69">
        <v>2.7250000000000001</v>
      </c>
      <c r="M77" s="8">
        <v>73</v>
      </c>
      <c r="N77" s="8" t="s">
        <v>99</v>
      </c>
      <c r="O77" s="8" t="s">
        <v>79</v>
      </c>
      <c r="P77" s="8" t="s">
        <v>79</v>
      </c>
      <c r="Q77" s="8" t="s">
        <v>105</v>
      </c>
      <c r="R77" s="8" t="s">
        <v>82</v>
      </c>
      <c r="S77" s="8" t="s">
        <v>59</v>
      </c>
      <c r="T77" s="8" t="s">
        <v>99</v>
      </c>
      <c r="U77" s="8" t="s">
        <v>99</v>
      </c>
      <c r="V77" s="8" t="s">
        <v>48</v>
      </c>
      <c r="W77" s="8" t="s">
        <v>53</v>
      </c>
    </row>
    <row r="78" spans="2:23" x14ac:dyDescent="0.2">
      <c r="B78" s="8" t="s">
        <v>112</v>
      </c>
      <c r="C78" s="68">
        <v>3.1615800000000003</v>
      </c>
      <c r="D78" s="8">
        <v>3</v>
      </c>
      <c r="E78" s="8">
        <v>3.5</v>
      </c>
      <c r="F78" s="8">
        <v>2</v>
      </c>
      <c r="G78" s="8">
        <v>3</v>
      </c>
      <c r="H78" s="8">
        <v>2.4500000000000002</v>
      </c>
      <c r="I78" s="8">
        <v>2</v>
      </c>
      <c r="J78" s="8">
        <v>2</v>
      </c>
      <c r="K78" s="69">
        <v>2.4874999999999998</v>
      </c>
      <c r="M78" s="8">
        <v>74</v>
      </c>
      <c r="N78" s="8" t="s">
        <v>53</v>
      </c>
      <c r="O78" s="8" t="s">
        <v>53</v>
      </c>
      <c r="P78" s="8" t="s">
        <v>69</v>
      </c>
      <c r="Q78" s="8" t="s">
        <v>59</v>
      </c>
      <c r="R78" s="8" t="s">
        <v>99</v>
      </c>
      <c r="S78" s="8" t="s">
        <v>54</v>
      </c>
      <c r="T78" s="8" t="s">
        <v>54</v>
      </c>
      <c r="U78" s="8" t="s">
        <v>54</v>
      </c>
      <c r="W78" s="8" t="s">
        <v>54</v>
      </c>
    </row>
    <row r="79" spans="2:23" x14ac:dyDescent="0.2">
      <c r="B79" s="8" t="s">
        <v>61</v>
      </c>
      <c r="C79" s="68">
        <v>4.05</v>
      </c>
      <c r="D79" s="8">
        <v>3</v>
      </c>
      <c r="E79" s="8">
        <v>2</v>
      </c>
      <c r="F79" s="8">
        <v>2</v>
      </c>
      <c r="G79" s="8">
        <v>2</v>
      </c>
      <c r="H79" s="8">
        <v>2</v>
      </c>
      <c r="I79" s="8">
        <v>3</v>
      </c>
      <c r="J79" s="8">
        <v>2</v>
      </c>
      <c r="K79" s="69">
        <v>2.25</v>
      </c>
      <c r="M79" s="8">
        <v>75</v>
      </c>
      <c r="N79" s="8" t="s">
        <v>54</v>
      </c>
      <c r="O79" s="8" t="s">
        <v>69</v>
      </c>
      <c r="P79" s="8" t="s">
        <v>53</v>
      </c>
      <c r="Q79" s="8" t="s">
        <v>54</v>
      </c>
      <c r="R79" s="8" t="s">
        <v>40</v>
      </c>
      <c r="S79" s="8" t="s">
        <v>73</v>
      </c>
      <c r="T79" s="8" t="s">
        <v>73</v>
      </c>
      <c r="U79" s="8" t="s">
        <v>73</v>
      </c>
      <c r="W79" s="8" t="s">
        <v>99</v>
      </c>
    </row>
    <row r="80" spans="2:23" x14ac:dyDescent="0.2">
      <c r="B80" s="8" t="s">
        <v>48</v>
      </c>
      <c r="C80" s="68">
        <v>3.7</v>
      </c>
      <c r="D80" s="8">
        <v>2</v>
      </c>
      <c r="E80" s="8">
        <v>2</v>
      </c>
      <c r="F80" s="8">
        <v>1</v>
      </c>
      <c r="G80" s="8">
        <v>1</v>
      </c>
      <c r="H80" s="8">
        <v>1</v>
      </c>
      <c r="I80" s="8">
        <v>2</v>
      </c>
      <c r="J80" s="8">
        <v>2</v>
      </c>
      <c r="K80" s="69">
        <v>1.75</v>
      </c>
      <c r="M80" s="8">
        <v>76</v>
      </c>
      <c r="N80" s="8" t="s">
        <v>78</v>
      </c>
      <c r="O80" s="8" t="s">
        <v>40</v>
      </c>
      <c r="P80" s="8" t="s">
        <v>40</v>
      </c>
      <c r="Q80" s="8" t="s">
        <v>48</v>
      </c>
      <c r="R80" s="8" t="s">
        <v>73</v>
      </c>
      <c r="S80" s="8" t="s">
        <v>40</v>
      </c>
      <c r="T80" s="8" t="s">
        <v>40</v>
      </c>
      <c r="U80" s="8" t="s">
        <v>40</v>
      </c>
      <c r="W80" s="8" t="s">
        <v>48</v>
      </c>
    </row>
    <row r="81" spans="2:23" x14ac:dyDescent="0.2">
      <c r="B81" s="8" t="s">
        <v>104</v>
      </c>
      <c r="C81" s="68">
        <v>3.22</v>
      </c>
      <c r="D81" s="8">
        <v>5</v>
      </c>
      <c r="E81" s="8">
        <v>4.5</v>
      </c>
      <c r="F81" s="8">
        <v>3</v>
      </c>
      <c r="G81" s="8">
        <v>3</v>
      </c>
      <c r="H81" s="8">
        <v>3</v>
      </c>
      <c r="I81" s="8">
        <v>4</v>
      </c>
      <c r="J81" s="8">
        <v>3</v>
      </c>
      <c r="K81" s="69">
        <v>3.625</v>
      </c>
      <c r="M81" s="8">
        <v>77</v>
      </c>
      <c r="N81" s="8" t="s">
        <v>61</v>
      </c>
      <c r="O81" s="8" t="s">
        <v>99</v>
      </c>
      <c r="P81" s="8" t="s">
        <v>99</v>
      </c>
      <c r="Q81" s="8" t="s">
        <v>40</v>
      </c>
      <c r="R81" s="8" t="s">
        <v>48</v>
      </c>
      <c r="S81" s="8" t="s">
        <v>48</v>
      </c>
      <c r="T81" s="8" t="s">
        <v>48</v>
      </c>
      <c r="U81" s="8" t="s">
        <v>48</v>
      </c>
      <c r="W81" s="8" t="s">
        <v>40</v>
      </c>
    </row>
  </sheetData>
  <mergeCells count="2">
    <mergeCell ref="B1:K3"/>
    <mergeCell ref="N1:W3"/>
  </mergeCells>
  <conditionalFormatting sqref="C5:C8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8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8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8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8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D6BE-5B34-B649-A263-D0C1C9682301}">
  <sheetPr>
    <pageSetUpPr fitToPage="1"/>
  </sheetPr>
  <dimension ref="A1:F76"/>
  <sheetViews>
    <sheetView zoomScale="119" zoomScaleNormal="119" workbookViewId="0">
      <selection activeCell="A3" sqref="A3:A75"/>
    </sheetView>
  </sheetViews>
  <sheetFormatPr baseColWidth="10" defaultColWidth="12.83203125" defaultRowHeight="25" customHeight="1" x14ac:dyDescent="0.2"/>
  <cols>
    <col min="1" max="1" width="23.83203125" bestFit="1" customWidth="1"/>
    <col min="2" max="2" width="14.33203125" bestFit="1" customWidth="1"/>
    <col min="3" max="3" width="22.5" bestFit="1" customWidth="1"/>
  </cols>
  <sheetData>
    <row r="1" spans="1:4" ht="25" customHeight="1" x14ac:dyDescent="0.2">
      <c r="A1" s="1"/>
    </row>
    <row r="2" spans="1:4" s="2" customFormat="1" ht="43" customHeight="1" x14ac:dyDescent="0.2">
      <c r="A2" s="2" t="s">
        <v>115</v>
      </c>
      <c r="B2" s="2" t="s">
        <v>131</v>
      </c>
      <c r="C2" s="2" t="s">
        <v>132</v>
      </c>
      <c r="D2" s="2" t="s">
        <v>127</v>
      </c>
    </row>
    <row r="3" spans="1:4" ht="25" customHeight="1" x14ac:dyDescent="0.2">
      <c r="A3" s="7" t="s">
        <v>39</v>
      </c>
      <c r="B3" s="7">
        <v>5</v>
      </c>
      <c r="C3" s="7">
        <v>5</v>
      </c>
      <c r="D3" s="46">
        <f>((B3*60)+(C3*40))/100</f>
        <v>5</v>
      </c>
    </row>
    <row r="4" spans="1:4" ht="25" customHeight="1" x14ac:dyDescent="0.2">
      <c r="A4" s="7" t="s">
        <v>86</v>
      </c>
      <c r="B4" s="7">
        <v>5</v>
      </c>
      <c r="C4" s="7">
        <v>5</v>
      </c>
      <c r="D4" s="46">
        <f>((B4*60)+(C4*40))/100</f>
        <v>5</v>
      </c>
    </row>
    <row r="5" spans="1:4" s="6" customFormat="1" ht="25" customHeight="1" x14ac:dyDescent="0.2">
      <c r="A5" s="7" t="s">
        <v>77</v>
      </c>
      <c r="B5" s="7">
        <v>5</v>
      </c>
      <c r="C5" s="7">
        <v>5</v>
      </c>
      <c r="D5" s="46">
        <f>((B5*60)+(C5*40))/100</f>
        <v>5</v>
      </c>
    </row>
    <row r="6" spans="1:4" s="6" customFormat="1" ht="25" customHeight="1" x14ac:dyDescent="0.2">
      <c r="A6" s="7" t="s">
        <v>90</v>
      </c>
      <c r="B6" s="7">
        <v>5</v>
      </c>
      <c r="C6" s="7">
        <v>5</v>
      </c>
      <c r="D6" s="46">
        <f>((B6*60)+(C6*40))/100</f>
        <v>5</v>
      </c>
    </row>
    <row r="7" spans="1:4" s="6" customFormat="1" ht="25" customHeight="1" x14ac:dyDescent="0.2">
      <c r="A7" s="7" t="s">
        <v>56</v>
      </c>
      <c r="B7" s="7">
        <v>5</v>
      </c>
      <c r="C7" s="7">
        <v>4</v>
      </c>
      <c r="D7" s="46">
        <f>((B7*60)+(C7*40))/100</f>
        <v>4.5999999999999996</v>
      </c>
    </row>
    <row r="8" spans="1:4" s="6" customFormat="1" ht="25" customHeight="1" x14ac:dyDescent="0.2">
      <c r="A8" s="7" t="s">
        <v>52</v>
      </c>
      <c r="B8" s="7">
        <v>5</v>
      </c>
      <c r="C8" s="7">
        <v>4</v>
      </c>
      <c r="D8" s="46">
        <f>((B8*60)+(C8*40))/100</f>
        <v>4.5999999999999996</v>
      </c>
    </row>
    <row r="9" spans="1:4" s="6" customFormat="1" ht="25" customHeight="1" x14ac:dyDescent="0.2">
      <c r="A9" s="7" t="s">
        <v>80</v>
      </c>
      <c r="B9" s="7">
        <v>5</v>
      </c>
      <c r="C9" s="7">
        <v>4</v>
      </c>
      <c r="D9" s="46">
        <f>((B9*60)+(C9*40))/100</f>
        <v>4.5999999999999996</v>
      </c>
    </row>
    <row r="10" spans="1:4" s="6" customFormat="1" ht="25" customHeight="1" x14ac:dyDescent="0.2">
      <c r="A10" s="7" t="s">
        <v>63</v>
      </c>
      <c r="B10" s="7">
        <v>4</v>
      </c>
      <c r="C10" s="7">
        <v>5</v>
      </c>
      <c r="D10" s="46">
        <f>((B10*60)+(C10*40))/100</f>
        <v>4.4000000000000004</v>
      </c>
    </row>
    <row r="11" spans="1:4" s="6" customFormat="1" ht="25" customHeight="1" x14ac:dyDescent="0.2">
      <c r="A11" s="7" t="s">
        <v>102</v>
      </c>
      <c r="B11" s="7">
        <v>4</v>
      </c>
      <c r="C11" s="7">
        <v>5</v>
      </c>
      <c r="D11" s="46">
        <f>((B11*60)+(C11*40))/100</f>
        <v>4.4000000000000004</v>
      </c>
    </row>
    <row r="12" spans="1:4" s="6" customFormat="1" ht="25" customHeight="1" x14ac:dyDescent="0.2">
      <c r="A12" s="7" t="s">
        <v>44</v>
      </c>
      <c r="B12" s="7">
        <v>5</v>
      </c>
      <c r="C12" s="7">
        <v>3</v>
      </c>
      <c r="D12" s="46">
        <f>((B12*60)+(C12*40))/100</f>
        <v>4.2</v>
      </c>
    </row>
    <row r="13" spans="1:4" ht="25" customHeight="1" x14ac:dyDescent="0.2">
      <c r="A13" s="7" t="s">
        <v>51</v>
      </c>
      <c r="B13" s="7">
        <v>4</v>
      </c>
      <c r="C13" s="7">
        <v>4</v>
      </c>
      <c r="D13" s="46">
        <f>((B13*60)+(C13*40))/100</f>
        <v>4</v>
      </c>
    </row>
    <row r="14" spans="1:4" ht="25" customHeight="1" x14ac:dyDescent="0.2">
      <c r="A14" s="7" t="s">
        <v>96</v>
      </c>
      <c r="B14" s="7">
        <v>4</v>
      </c>
      <c r="C14" s="7">
        <v>4</v>
      </c>
      <c r="D14" s="46">
        <f>((B14*60)+(C14*40))/100</f>
        <v>4</v>
      </c>
    </row>
    <row r="15" spans="1:4" ht="25" customHeight="1" x14ac:dyDescent="0.2">
      <c r="A15" s="7" t="s">
        <v>67</v>
      </c>
      <c r="B15" s="7">
        <v>4</v>
      </c>
      <c r="C15" s="7">
        <v>4</v>
      </c>
      <c r="D15" s="46">
        <f>((B15*60)+(C15*40))/100</f>
        <v>4</v>
      </c>
    </row>
    <row r="16" spans="1:4" ht="25" customHeight="1" x14ac:dyDescent="0.2">
      <c r="A16" s="7" t="s">
        <v>95</v>
      </c>
      <c r="B16" s="7">
        <v>4</v>
      </c>
      <c r="C16" s="7">
        <v>4</v>
      </c>
      <c r="D16" s="46">
        <f>((B16*60)+(C16*40))/100</f>
        <v>4</v>
      </c>
    </row>
    <row r="17" spans="1:4" ht="25" customHeight="1" x14ac:dyDescent="0.2">
      <c r="A17" s="7" t="s">
        <v>70</v>
      </c>
      <c r="B17" s="7">
        <v>4</v>
      </c>
      <c r="C17" s="7">
        <v>3</v>
      </c>
      <c r="D17" s="46">
        <f>((B17*60)+(C17*40))/100</f>
        <v>3.6</v>
      </c>
    </row>
    <row r="18" spans="1:4" ht="25" customHeight="1" x14ac:dyDescent="0.2">
      <c r="A18" s="7" t="s">
        <v>60</v>
      </c>
      <c r="B18" s="7">
        <v>4</v>
      </c>
      <c r="C18" s="7">
        <v>3</v>
      </c>
      <c r="D18" s="46">
        <f>((B18*60)+(C18*40))/100</f>
        <v>3.6</v>
      </c>
    </row>
    <row r="19" spans="1:4" ht="25" customHeight="1" x14ac:dyDescent="0.2">
      <c r="A19" s="7" t="s">
        <v>91</v>
      </c>
      <c r="B19" s="7">
        <v>4</v>
      </c>
      <c r="C19" s="7">
        <v>3</v>
      </c>
      <c r="D19" s="46">
        <f>((B19*60)+(C19*40))/100</f>
        <v>3.6</v>
      </c>
    </row>
    <row r="20" spans="1:4" ht="25" customHeight="1" x14ac:dyDescent="0.2">
      <c r="A20" s="7" t="s">
        <v>74</v>
      </c>
      <c r="B20" s="7">
        <v>4</v>
      </c>
      <c r="C20" s="7">
        <v>3</v>
      </c>
      <c r="D20" s="46">
        <f>((B20*60)+(C20*40))/100</f>
        <v>3.6</v>
      </c>
    </row>
    <row r="21" spans="1:4" ht="25" customHeight="1" x14ac:dyDescent="0.2">
      <c r="A21" s="7" t="s">
        <v>58</v>
      </c>
      <c r="B21" s="7">
        <v>4</v>
      </c>
      <c r="C21" s="7">
        <v>3</v>
      </c>
      <c r="D21" s="46">
        <f>((B21*60)+(C21*40))/100</f>
        <v>3.6</v>
      </c>
    </row>
    <row r="22" spans="1:4" ht="25" customHeight="1" x14ac:dyDescent="0.2">
      <c r="A22" s="7" t="s">
        <v>55</v>
      </c>
      <c r="B22" s="7">
        <v>4</v>
      </c>
      <c r="C22" s="7">
        <v>3</v>
      </c>
      <c r="D22" s="46">
        <f>((B22*60)+(C22*40))/100</f>
        <v>3.6</v>
      </c>
    </row>
    <row r="23" spans="1:4" ht="25" customHeight="1" x14ac:dyDescent="0.2">
      <c r="A23" s="7" t="s">
        <v>114</v>
      </c>
      <c r="B23" s="7">
        <v>4</v>
      </c>
      <c r="C23" s="7">
        <v>3</v>
      </c>
      <c r="D23" s="46">
        <f>((B23*60)+(C23*40))/100</f>
        <v>3.6</v>
      </c>
    </row>
    <row r="24" spans="1:4" ht="25" customHeight="1" x14ac:dyDescent="0.2">
      <c r="A24" s="7" t="s">
        <v>47</v>
      </c>
      <c r="B24" s="7">
        <v>3</v>
      </c>
      <c r="C24" s="7">
        <v>4</v>
      </c>
      <c r="D24" s="46">
        <f>((B24*60)+(C24*40))/100</f>
        <v>3.4</v>
      </c>
    </row>
    <row r="25" spans="1:4" ht="25" customHeight="1" x14ac:dyDescent="0.2">
      <c r="A25" s="7" t="s">
        <v>78</v>
      </c>
      <c r="B25" s="7">
        <v>3</v>
      </c>
      <c r="C25" s="7">
        <v>4</v>
      </c>
      <c r="D25" s="46">
        <f>((B25*60)+(C25*40))/100</f>
        <v>3.4</v>
      </c>
    </row>
    <row r="26" spans="1:4" ht="25" customHeight="1" x14ac:dyDescent="0.2">
      <c r="A26" s="7" t="s">
        <v>100</v>
      </c>
      <c r="B26" s="7">
        <v>3</v>
      </c>
      <c r="C26" s="7">
        <v>4</v>
      </c>
      <c r="D26" s="46">
        <f>((B26*60)+(C26*40))/100</f>
        <v>3.4</v>
      </c>
    </row>
    <row r="27" spans="1:4" ht="25" customHeight="1" x14ac:dyDescent="0.2">
      <c r="A27" s="7" t="s">
        <v>66</v>
      </c>
      <c r="B27" s="7">
        <v>3</v>
      </c>
      <c r="C27" s="7">
        <v>4</v>
      </c>
      <c r="D27" s="46">
        <f>((B27*60)+(C27*40))/100</f>
        <v>3.4</v>
      </c>
    </row>
    <row r="28" spans="1:4" ht="25" customHeight="1" x14ac:dyDescent="0.2">
      <c r="A28" s="7" t="s">
        <v>65</v>
      </c>
      <c r="B28" s="7">
        <v>3</v>
      </c>
      <c r="C28" s="7">
        <v>4</v>
      </c>
      <c r="D28" s="46">
        <f>((B28*60)+(C28*40))/100</f>
        <v>3.4</v>
      </c>
    </row>
    <row r="29" spans="1:4" ht="25" customHeight="1" x14ac:dyDescent="0.2">
      <c r="A29" s="7" t="s">
        <v>107</v>
      </c>
      <c r="B29" s="7">
        <v>3</v>
      </c>
      <c r="C29" s="7">
        <v>4</v>
      </c>
      <c r="D29" s="46">
        <f>((B29*60)+(C29*40))/100</f>
        <v>3.4</v>
      </c>
    </row>
    <row r="30" spans="1:4" ht="25" customHeight="1" x14ac:dyDescent="0.2">
      <c r="A30" s="7" t="s">
        <v>84</v>
      </c>
      <c r="B30" s="7">
        <v>3</v>
      </c>
      <c r="C30" s="7">
        <v>4</v>
      </c>
      <c r="D30" s="46">
        <f>((B30*60)+(C30*40))/100</f>
        <v>3.4</v>
      </c>
    </row>
    <row r="31" spans="1:4" ht="25" customHeight="1" x14ac:dyDescent="0.2">
      <c r="A31" s="7" t="s">
        <v>72</v>
      </c>
      <c r="B31" s="7">
        <v>3</v>
      </c>
      <c r="C31" s="7">
        <v>4</v>
      </c>
      <c r="D31" s="46">
        <f>((B31*60)+(C31*40))/100</f>
        <v>3.4</v>
      </c>
    </row>
    <row r="32" spans="1:4" ht="25" customHeight="1" x14ac:dyDescent="0.2">
      <c r="A32" s="7" t="s">
        <v>110</v>
      </c>
      <c r="B32" s="7">
        <v>3</v>
      </c>
      <c r="C32" s="7">
        <v>4</v>
      </c>
      <c r="D32" s="46">
        <f>((B32*60)+(C32*40))/100</f>
        <v>3.4</v>
      </c>
    </row>
    <row r="33" spans="1:4" ht="25" customHeight="1" x14ac:dyDescent="0.2">
      <c r="A33" s="7" t="s">
        <v>83</v>
      </c>
      <c r="B33" s="7">
        <v>3</v>
      </c>
      <c r="C33" s="7">
        <v>3</v>
      </c>
      <c r="D33" s="46">
        <f>((B33*60)+(C33*40))/100</f>
        <v>3</v>
      </c>
    </row>
    <row r="34" spans="1:4" ht="25" customHeight="1" x14ac:dyDescent="0.2">
      <c r="A34" s="7" t="s">
        <v>59</v>
      </c>
      <c r="B34" s="7">
        <v>3</v>
      </c>
      <c r="C34" s="7">
        <v>3</v>
      </c>
      <c r="D34" s="46">
        <f>((B34*60)+(C34*40))/100</f>
        <v>3</v>
      </c>
    </row>
    <row r="35" spans="1:4" ht="25" customHeight="1" x14ac:dyDescent="0.2">
      <c r="A35" s="7" t="s">
        <v>93</v>
      </c>
      <c r="B35" s="7">
        <v>3</v>
      </c>
      <c r="C35" s="7">
        <v>3</v>
      </c>
      <c r="D35" s="46">
        <f>((B35*60)+(C35*40))/100</f>
        <v>3</v>
      </c>
    </row>
    <row r="36" spans="1:4" ht="25" customHeight="1" x14ac:dyDescent="0.2">
      <c r="A36" s="7" t="s">
        <v>38</v>
      </c>
      <c r="B36" s="7">
        <v>3</v>
      </c>
      <c r="C36" s="7">
        <v>3</v>
      </c>
      <c r="D36" s="46">
        <f>((B36*60)+(C36*40))/100</f>
        <v>3</v>
      </c>
    </row>
    <row r="37" spans="1:4" ht="25" customHeight="1" x14ac:dyDescent="0.2">
      <c r="A37" s="7" t="s">
        <v>57</v>
      </c>
      <c r="B37" s="7">
        <v>3</v>
      </c>
      <c r="C37" s="7">
        <v>3</v>
      </c>
      <c r="D37" s="46">
        <f>((B37*60)+(C37*40))/100</f>
        <v>3</v>
      </c>
    </row>
    <row r="38" spans="1:4" ht="25" customHeight="1" x14ac:dyDescent="0.2">
      <c r="A38" s="7" t="s">
        <v>101</v>
      </c>
      <c r="B38" s="7">
        <v>3</v>
      </c>
      <c r="C38" s="7">
        <v>3</v>
      </c>
      <c r="D38" s="46">
        <f>((B38*60)+(C38*40))/100</f>
        <v>3</v>
      </c>
    </row>
    <row r="39" spans="1:4" ht="25" customHeight="1" x14ac:dyDescent="0.2">
      <c r="A39" s="7" t="s">
        <v>92</v>
      </c>
      <c r="B39" s="7">
        <v>3</v>
      </c>
      <c r="C39" s="7">
        <v>3</v>
      </c>
      <c r="D39" s="46">
        <f>((B39*60)+(C39*40))/100</f>
        <v>3</v>
      </c>
    </row>
    <row r="40" spans="1:4" ht="25" customHeight="1" x14ac:dyDescent="0.2">
      <c r="A40" s="7" t="s">
        <v>43</v>
      </c>
      <c r="B40" s="7">
        <v>3</v>
      </c>
      <c r="C40" s="7">
        <v>3</v>
      </c>
      <c r="D40" s="46">
        <f>((B40*60)+(C40*40))/100</f>
        <v>3</v>
      </c>
    </row>
    <row r="41" spans="1:4" ht="25" customHeight="1" x14ac:dyDescent="0.2">
      <c r="A41" s="7" t="s">
        <v>89</v>
      </c>
      <c r="B41" s="7">
        <v>3</v>
      </c>
      <c r="C41" s="7">
        <v>3</v>
      </c>
      <c r="D41" s="46">
        <f>((B41*60)+(C41*40))/100</f>
        <v>3</v>
      </c>
    </row>
    <row r="42" spans="1:4" ht="25" customHeight="1" x14ac:dyDescent="0.2">
      <c r="A42" s="7" t="s">
        <v>50</v>
      </c>
      <c r="B42" s="7">
        <v>3</v>
      </c>
      <c r="C42" s="7">
        <v>3</v>
      </c>
      <c r="D42" s="46">
        <f>((B42*60)+(C42*40))/100</f>
        <v>3</v>
      </c>
    </row>
    <row r="43" spans="1:4" ht="25" customHeight="1" x14ac:dyDescent="0.2">
      <c r="A43" s="7" t="s">
        <v>85</v>
      </c>
      <c r="B43" s="7">
        <v>3</v>
      </c>
      <c r="C43" s="7">
        <v>3</v>
      </c>
      <c r="D43" s="46">
        <f>((B43*60)+(C43*40))/100</f>
        <v>3</v>
      </c>
    </row>
    <row r="44" spans="1:4" ht="25" customHeight="1" x14ac:dyDescent="0.2">
      <c r="A44" s="7" t="s">
        <v>75</v>
      </c>
      <c r="B44" s="7">
        <v>3</v>
      </c>
      <c r="C44" s="7">
        <v>3</v>
      </c>
      <c r="D44" s="46">
        <f>((B44*60)+(C44*40))/100</f>
        <v>3</v>
      </c>
    </row>
    <row r="45" spans="1:4" ht="25" customHeight="1" x14ac:dyDescent="0.2">
      <c r="A45" s="7" t="s">
        <v>106</v>
      </c>
      <c r="B45" s="7">
        <v>3</v>
      </c>
      <c r="C45" s="7">
        <v>3</v>
      </c>
      <c r="D45" s="46">
        <f>((B45*60)+(C45*40))/100</f>
        <v>3</v>
      </c>
    </row>
    <row r="46" spans="1:4" ht="25" customHeight="1" x14ac:dyDescent="0.2">
      <c r="A46" s="7" t="s">
        <v>104</v>
      </c>
      <c r="B46" s="7">
        <v>3</v>
      </c>
      <c r="C46" s="7">
        <v>3</v>
      </c>
      <c r="D46" s="46">
        <f>((B46*60)+(C46*40))/100</f>
        <v>3</v>
      </c>
    </row>
    <row r="47" spans="1:4" ht="25" customHeight="1" x14ac:dyDescent="0.2">
      <c r="A47" s="7" t="s">
        <v>76</v>
      </c>
      <c r="B47" s="7">
        <v>3</v>
      </c>
      <c r="C47" s="7">
        <v>2</v>
      </c>
      <c r="D47" s="46">
        <f>((B47*60)+(C47*40))/100</f>
        <v>2.6</v>
      </c>
    </row>
    <row r="48" spans="1:4" ht="25" customHeight="1" x14ac:dyDescent="0.2">
      <c r="A48" s="7" t="s">
        <v>71</v>
      </c>
      <c r="B48" s="7">
        <v>3</v>
      </c>
      <c r="C48" s="7">
        <v>2</v>
      </c>
      <c r="D48" s="46">
        <f>((B48*60)+(C48*40))/100</f>
        <v>2.6</v>
      </c>
    </row>
    <row r="49" spans="1:4" ht="25" customHeight="1" x14ac:dyDescent="0.2">
      <c r="A49" s="7" t="s">
        <v>41</v>
      </c>
      <c r="B49" s="7">
        <v>3</v>
      </c>
      <c r="C49" s="7">
        <v>2</v>
      </c>
      <c r="D49" s="46">
        <f>((B49*60)+(C49*40))/100</f>
        <v>2.6</v>
      </c>
    </row>
    <row r="50" spans="1:4" ht="25" customHeight="1" x14ac:dyDescent="0.2">
      <c r="A50" s="7" t="s">
        <v>53</v>
      </c>
      <c r="B50" s="7">
        <v>3</v>
      </c>
      <c r="C50" s="7">
        <v>2</v>
      </c>
      <c r="D50" s="46">
        <f>((B50*60)+(C50*40))/100</f>
        <v>2.6</v>
      </c>
    </row>
    <row r="51" spans="1:4" ht="25" customHeight="1" x14ac:dyDescent="0.2">
      <c r="A51" s="7" t="s">
        <v>46</v>
      </c>
      <c r="B51" s="7">
        <v>3</v>
      </c>
      <c r="C51" s="7">
        <v>2</v>
      </c>
      <c r="D51" s="46">
        <f>((B51*60)+(C51*40))/100</f>
        <v>2.6</v>
      </c>
    </row>
    <row r="52" spans="1:4" ht="25" customHeight="1" x14ac:dyDescent="0.2">
      <c r="A52" s="7" t="s">
        <v>94</v>
      </c>
      <c r="B52" s="7">
        <v>2</v>
      </c>
      <c r="C52" s="7">
        <v>3</v>
      </c>
      <c r="D52" s="46">
        <f>((B52*60)+(C52*40))/100</f>
        <v>2.4</v>
      </c>
    </row>
    <row r="53" spans="1:4" ht="25" customHeight="1" x14ac:dyDescent="0.2">
      <c r="A53" s="7" t="s">
        <v>98</v>
      </c>
      <c r="B53" s="7">
        <v>2</v>
      </c>
      <c r="C53" s="7">
        <v>3</v>
      </c>
      <c r="D53" s="46">
        <f>((B53*60)+(C53*40))/100</f>
        <v>2.4</v>
      </c>
    </row>
    <row r="54" spans="1:4" ht="25" customHeight="1" x14ac:dyDescent="0.2">
      <c r="A54" s="7" t="s">
        <v>97</v>
      </c>
      <c r="B54" s="7">
        <v>2</v>
      </c>
      <c r="C54" s="7">
        <v>3</v>
      </c>
      <c r="D54" s="46">
        <f>((B54*60)+(C54*40))/100</f>
        <v>2.4</v>
      </c>
    </row>
    <row r="55" spans="1:4" ht="25" customHeight="1" x14ac:dyDescent="0.2">
      <c r="A55" s="7" t="s">
        <v>99</v>
      </c>
      <c r="B55" s="7">
        <v>2</v>
      </c>
      <c r="C55" s="7">
        <v>3</v>
      </c>
      <c r="D55" s="46">
        <f>((B55*60)+(C55*40))/100</f>
        <v>2.4</v>
      </c>
    </row>
    <row r="56" spans="1:4" ht="25" customHeight="1" x14ac:dyDescent="0.2">
      <c r="A56" s="7" t="s">
        <v>42</v>
      </c>
      <c r="B56" s="7">
        <v>2</v>
      </c>
      <c r="C56" s="7">
        <v>3</v>
      </c>
      <c r="D56" s="46">
        <f>((B56*60)+(C56*40))/100</f>
        <v>2.4</v>
      </c>
    </row>
    <row r="57" spans="1:4" ht="25" customHeight="1" x14ac:dyDescent="0.2">
      <c r="A57" s="7" t="s">
        <v>73</v>
      </c>
      <c r="B57" s="7">
        <v>2</v>
      </c>
      <c r="C57" s="7">
        <v>3</v>
      </c>
      <c r="D57" s="46">
        <f>((B57*60)+(C57*40))/100</f>
        <v>2.4</v>
      </c>
    </row>
    <row r="58" spans="1:4" ht="25" customHeight="1" x14ac:dyDescent="0.2">
      <c r="A58" s="7" t="s">
        <v>45</v>
      </c>
      <c r="B58" s="7">
        <v>2</v>
      </c>
      <c r="C58" s="7">
        <v>3</v>
      </c>
      <c r="D58" s="46">
        <f>((B58*60)+(C58*40))/100</f>
        <v>2.4</v>
      </c>
    </row>
    <row r="59" spans="1:4" ht="25" customHeight="1" x14ac:dyDescent="0.2">
      <c r="A59" s="7" t="s">
        <v>79</v>
      </c>
      <c r="B59" s="7">
        <v>2</v>
      </c>
      <c r="C59" s="7">
        <v>3</v>
      </c>
      <c r="D59" s="46">
        <f>((B59*60)+(C59*40))/100</f>
        <v>2.4</v>
      </c>
    </row>
    <row r="60" spans="1:4" ht="25" customHeight="1" x14ac:dyDescent="0.2">
      <c r="A60" s="7" t="s">
        <v>88</v>
      </c>
      <c r="B60" s="7">
        <v>2</v>
      </c>
      <c r="C60" s="7">
        <v>3</v>
      </c>
      <c r="D60" s="46">
        <f>((B60*60)+(C60*40))/100</f>
        <v>2.4</v>
      </c>
    </row>
    <row r="61" spans="1:4" ht="25" customHeight="1" x14ac:dyDescent="0.2">
      <c r="A61" s="7" t="s">
        <v>103</v>
      </c>
      <c r="B61" s="7">
        <v>2</v>
      </c>
      <c r="C61" s="7">
        <v>3</v>
      </c>
      <c r="D61" s="46">
        <f>((B61*60)+(C61*40))/100</f>
        <v>2.4</v>
      </c>
    </row>
    <row r="62" spans="1:4" ht="25" customHeight="1" x14ac:dyDescent="0.2">
      <c r="A62" s="7" t="s">
        <v>61</v>
      </c>
      <c r="B62" s="7">
        <v>2</v>
      </c>
      <c r="C62" s="7">
        <v>3</v>
      </c>
      <c r="D62" s="46">
        <f>((B62*60)+(C62*40))/100</f>
        <v>2.4</v>
      </c>
    </row>
    <row r="63" spans="1:4" ht="25" customHeight="1" x14ac:dyDescent="0.2">
      <c r="A63" s="7" t="s">
        <v>62</v>
      </c>
      <c r="B63" s="7">
        <v>3</v>
      </c>
      <c r="C63" s="7">
        <v>1</v>
      </c>
      <c r="D63" s="46">
        <f>((B63*60)+(C63*40))/100</f>
        <v>2.2000000000000002</v>
      </c>
    </row>
    <row r="64" spans="1:4" ht="25" customHeight="1" x14ac:dyDescent="0.2">
      <c r="A64" s="7" t="s">
        <v>69</v>
      </c>
      <c r="B64" s="7">
        <v>2</v>
      </c>
      <c r="C64" s="7">
        <v>2</v>
      </c>
      <c r="D64" s="46">
        <f>((B64*60)+(C64*40))/100</f>
        <v>2</v>
      </c>
    </row>
    <row r="65" spans="1:4" ht="25" customHeight="1" x14ac:dyDescent="0.2">
      <c r="A65" s="7" t="s">
        <v>81</v>
      </c>
      <c r="B65" s="7">
        <v>2</v>
      </c>
      <c r="C65" s="7">
        <v>2</v>
      </c>
      <c r="D65" s="46">
        <f>((B65*60)+(C65*40))/100</f>
        <v>2</v>
      </c>
    </row>
    <row r="66" spans="1:4" ht="25" customHeight="1" x14ac:dyDescent="0.2">
      <c r="A66" s="7" t="s">
        <v>68</v>
      </c>
      <c r="B66" s="7">
        <v>2</v>
      </c>
      <c r="C66" s="7">
        <v>2</v>
      </c>
      <c r="D66" s="46">
        <f>((B66*60)+(C66*40))/100</f>
        <v>2</v>
      </c>
    </row>
    <row r="67" spans="1:4" ht="25" customHeight="1" x14ac:dyDescent="0.2">
      <c r="A67" s="7" t="s">
        <v>113</v>
      </c>
      <c r="B67" s="7">
        <v>2</v>
      </c>
      <c r="C67" s="7">
        <v>2</v>
      </c>
      <c r="D67" s="46">
        <f>((B67*60)+(C67*40))/100</f>
        <v>2</v>
      </c>
    </row>
    <row r="68" spans="1:4" ht="25" customHeight="1" x14ac:dyDescent="0.2">
      <c r="A68" s="7" t="s">
        <v>64</v>
      </c>
      <c r="B68" s="7">
        <v>2</v>
      </c>
      <c r="C68" s="7">
        <v>2</v>
      </c>
      <c r="D68" s="46">
        <f>((B68*60)+(C68*40))/100</f>
        <v>2</v>
      </c>
    </row>
    <row r="69" spans="1:4" ht="25" customHeight="1" x14ac:dyDescent="0.2">
      <c r="A69" s="7" t="s">
        <v>87</v>
      </c>
      <c r="B69" s="7">
        <v>2</v>
      </c>
      <c r="C69" s="7">
        <v>2</v>
      </c>
      <c r="D69" s="46">
        <f>((B69*60)+(C69*40))/100</f>
        <v>2</v>
      </c>
    </row>
    <row r="70" spans="1:4" ht="25" customHeight="1" x14ac:dyDescent="0.2">
      <c r="A70" s="7" t="s">
        <v>105</v>
      </c>
      <c r="B70" s="7">
        <v>2</v>
      </c>
      <c r="C70" s="7">
        <v>2</v>
      </c>
      <c r="D70" s="46">
        <f>((B70*60)+(C70*40))/100</f>
        <v>2</v>
      </c>
    </row>
    <row r="71" spans="1:4" ht="25" customHeight="1" x14ac:dyDescent="0.2">
      <c r="A71" s="7" t="s">
        <v>49</v>
      </c>
      <c r="B71" s="7">
        <v>2</v>
      </c>
      <c r="C71" s="7">
        <v>2</v>
      </c>
      <c r="D71" s="46">
        <f>((B71*60)+(C71*40))/100</f>
        <v>2</v>
      </c>
    </row>
    <row r="72" spans="1:4" ht="25" customHeight="1" x14ac:dyDescent="0.2">
      <c r="A72" s="7" t="s">
        <v>54</v>
      </c>
      <c r="B72" s="7">
        <v>2</v>
      </c>
      <c r="C72" s="7">
        <v>1</v>
      </c>
      <c r="D72" s="46">
        <f>((B72*60)+(C72*40))/100</f>
        <v>1.6</v>
      </c>
    </row>
    <row r="73" spans="1:4" ht="25" customHeight="1" x14ac:dyDescent="0.2">
      <c r="A73" s="7" t="s">
        <v>40</v>
      </c>
      <c r="B73" s="7">
        <v>1</v>
      </c>
      <c r="C73" s="7">
        <v>1</v>
      </c>
      <c r="D73" s="46">
        <f>((B73*60)+(C73*40))/100</f>
        <v>1</v>
      </c>
    </row>
    <row r="74" spans="1:4" ht="25" customHeight="1" x14ac:dyDescent="0.2">
      <c r="A74" s="7" t="s">
        <v>82</v>
      </c>
      <c r="B74" s="7">
        <v>1</v>
      </c>
      <c r="C74" s="7">
        <v>1</v>
      </c>
      <c r="D74" s="46">
        <f>((B74*60)+(C74*40))/100</f>
        <v>1</v>
      </c>
    </row>
    <row r="75" spans="1:4" ht="25" customHeight="1" x14ac:dyDescent="0.2">
      <c r="A75" s="7" t="s">
        <v>48</v>
      </c>
      <c r="B75" s="7">
        <v>1</v>
      </c>
      <c r="C75" s="7">
        <v>1</v>
      </c>
      <c r="D75" s="46">
        <f>((B75*60)+(C75*40))/100</f>
        <v>1</v>
      </c>
    </row>
    <row r="76" spans="1:4" ht="25" customHeight="1" x14ac:dyDescent="0.2">
      <c r="A76" s="5"/>
    </row>
  </sheetData>
  <phoneticPr fontId="4" type="noConversion"/>
  <pageMargins left="0.7" right="0.7" top="0.75" bottom="0.75" header="0.3" footer="0.3"/>
  <pageSetup scale="21"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5995-B7DA-1B4D-B516-849873AB3CBF}">
  <sheetPr>
    <pageSetUpPr fitToPage="1"/>
  </sheetPr>
  <dimension ref="A1:S80"/>
  <sheetViews>
    <sheetView zoomScale="119" zoomScaleNormal="119" workbookViewId="0">
      <selection activeCell="O2" sqref="O2"/>
    </sheetView>
  </sheetViews>
  <sheetFormatPr baseColWidth="10" defaultColWidth="12.83203125" defaultRowHeight="25" customHeight="1" x14ac:dyDescent="0.2"/>
  <cols>
    <col min="1" max="1" width="23.83203125" style="11" bestFit="1" customWidth="1"/>
    <col min="2" max="19" width="12.83203125" style="11" customWidth="1"/>
    <col min="20" max="16384" width="12.83203125" style="11"/>
  </cols>
  <sheetData>
    <row r="1" spans="1:19" ht="25" customHeight="1" thickBot="1" x14ac:dyDescent="0.25">
      <c r="A1" s="12"/>
      <c r="B1" s="72" t="s">
        <v>138</v>
      </c>
      <c r="C1" s="72"/>
      <c r="D1" s="72"/>
      <c r="E1" s="72"/>
      <c r="F1" s="72" t="s">
        <v>139</v>
      </c>
      <c r="G1" s="72"/>
      <c r="H1" s="72"/>
      <c r="I1" s="72"/>
      <c r="J1" s="72" t="s">
        <v>140</v>
      </c>
      <c r="K1" s="72"/>
      <c r="L1" s="72"/>
      <c r="M1" s="72"/>
      <c r="N1" s="72"/>
      <c r="O1" s="72" t="s">
        <v>141</v>
      </c>
      <c r="P1" s="72"/>
      <c r="Q1" s="72"/>
      <c r="R1" s="72"/>
      <c r="S1" s="72"/>
    </row>
    <row r="2" spans="1:19" s="13" customFormat="1" ht="43" customHeight="1" x14ac:dyDescent="0.2">
      <c r="A2" s="13" t="s">
        <v>115</v>
      </c>
      <c r="B2" s="21" t="s">
        <v>0</v>
      </c>
      <c r="C2" s="22" t="s">
        <v>129</v>
      </c>
      <c r="D2" s="22" t="s">
        <v>1</v>
      </c>
      <c r="E2" s="23" t="s">
        <v>130</v>
      </c>
      <c r="F2" s="21" t="s">
        <v>2</v>
      </c>
      <c r="G2" s="22" t="s">
        <v>3</v>
      </c>
      <c r="H2" s="22" t="s">
        <v>4</v>
      </c>
      <c r="I2" s="23" t="s">
        <v>5</v>
      </c>
      <c r="J2" s="21" t="s">
        <v>6</v>
      </c>
      <c r="K2" s="22" t="s">
        <v>7</v>
      </c>
      <c r="L2" s="22" t="s">
        <v>8</v>
      </c>
      <c r="M2" s="22" t="s">
        <v>9</v>
      </c>
      <c r="N2" s="23" t="s">
        <v>10</v>
      </c>
      <c r="O2" s="21" t="s">
        <v>11</v>
      </c>
      <c r="P2" s="22" t="s">
        <v>12</v>
      </c>
      <c r="Q2" s="22" t="s">
        <v>13</v>
      </c>
      <c r="R2" s="22" t="s">
        <v>14</v>
      </c>
      <c r="S2" s="23" t="s">
        <v>15</v>
      </c>
    </row>
    <row r="3" spans="1:19" ht="25" customHeight="1" x14ac:dyDescent="0.2">
      <c r="A3" s="19" t="s">
        <v>69</v>
      </c>
      <c r="B3" s="24">
        <v>3.45</v>
      </c>
      <c r="C3" s="16">
        <v>62</v>
      </c>
      <c r="D3" s="16">
        <v>51</v>
      </c>
      <c r="E3" s="25">
        <v>135</v>
      </c>
      <c r="F3" s="32">
        <v>47.2</v>
      </c>
      <c r="G3" s="3">
        <v>0.21</v>
      </c>
      <c r="H3" s="3">
        <v>42.4</v>
      </c>
      <c r="I3" s="33">
        <v>47.8</v>
      </c>
      <c r="J3" s="32">
        <v>3</v>
      </c>
      <c r="K3" s="3">
        <v>3</v>
      </c>
      <c r="L3" s="3">
        <v>2</v>
      </c>
      <c r="M3" s="3">
        <v>3</v>
      </c>
      <c r="N3" s="33">
        <v>2</v>
      </c>
      <c r="O3" s="39">
        <v>3</v>
      </c>
      <c r="P3" s="9">
        <v>2</v>
      </c>
      <c r="Q3" s="9">
        <v>2</v>
      </c>
      <c r="R3" s="9">
        <v>3</v>
      </c>
      <c r="S3" s="40">
        <v>1</v>
      </c>
    </row>
    <row r="4" spans="1:19" ht="25" customHeight="1" x14ac:dyDescent="0.2">
      <c r="A4" s="19" t="s">
        <v>83</v>
      </c>
      <c r="B4" s="26">
        <v>3.81</v>
      </c>
      <c r="C4" s="17">
        <v>61</v>
      </c>
      <c r="D4" s="17">
        <v>55</v>
      </c>
      <c r="E4" s="27">
        <v>205</v>
      </c>
      <c r="F4" s="34">
        <v>44.3</v>
      </c>
      <c r="G4" s="4">
        <v>0.2</v>
      </c>
      <c r="H4" s="4">
        <v>55.1</v>
      </c>
      <c r="I4" s="35">
        <v>58.2</v>
      </c>
      <c r="J4" s="34">
        <v>2</v>
      </c>
      <c r="K4" s="4">
        <v>2</v>
      </c>
      <c r="L4" s="4">
        <v>2</v>
      </c>
      <c r="M4" s="4">
        <v>2</v>
      </c>
      <c r="N4" s="35">
        <v>1</v>
      </c>
      <c r="O4" s="41">
        <v>1</v>
      </c>
      <c r="P4" s="18">
        <v>1</v>
      </c>
      <c r="Q4" s="18">
        <v>1</v>
      </c>
      <c r="R4" s="18">
        <v>1</v>
      </c>
      <c r="S4" s="42">
        <v>2</v>
      </c>
    </row>
    <row r="5" spans="1:19" s="14" customFormat="1" ht="25" customHeight="1" x14ac:dyDescent="0.2">
      <c r="A5" s="20" t="s">
        <v>76</v>
      </c>
      <c r="B5" s="24">
        <v>3.82</v>
      </c>
      <c r="C5" s="16">
        <v>56</v>
      </c>
      <c r="D5" s="16">
        <v>52</v>
      </c>
      <c r="E5" s="25">
        <v>187</v>
      </c>
      <c r="F5" s="32">
        <v>43.4</v>
      </c>
      <c r="G5" s="3">
        <v>0.2</v>
      </c>
      <c r="H5" s="3">
        <v>36.299999999999997</v>
      </c>
      <c r="I5" s="33">
        <v>46.6</v>
      </c>
      <c r="J5" s="32">
        <v>1</v>
      </c>
      <c r="K5" s="3">
        <v>2</v>
      </c>
      <c r="L5" s="3">
        <v>2</v>
      </c>
      <c r="M5" s="3">
        <v>2</v>
      </c>
      <c r="N5" s="33">
        <v>2</v>
      </c>
      <c r="O5" s="39">
        <v>1</v>
      </c>
      <c r="P5" s="9">
        <v>1</v>
      </c>
      <c r="Q5" s="9">
        <v>2</v>
      </c>
      <c r="R5" s="9">
        <v>1</v>
      </c>
      <c r="S5" s="40">
        <v>1</v>
      </c>
    </row>
    <row r="6" spans="1:19" s="14" customFormat="1" ht="25" customHeight="1" x14ac:dyDescent="0.2">
      <c r="A6" s="20" t="s">
        <v>94</v>
      </c>
      <c r="B6" s="24">
        <v>3.46</v>
      </c>
      <c r="C6" s="16">
        <v>72</v>
      </c>
      <c r="D6" s="16">
        <v>51</v>
      </c>
      <c r="E6" s="25">
        <v>227</v>
      </c>
      <c r="F6" s="32">
        <v>42.8</v>
      </c>
      <c r="G6" s="3">
        <v>0.21</v>
      </c>
      <c r="H6" s="3">
        <v>45.8</v>
      </c>
      <c r="I6" s="33">
        <v>56.6</v>
      </c>
      <c r="J6" s="32">
        <v>1</v>
      </c>
      <c r="K6" s="3">
        <v>2</v>
      </c>
      <c r="L6" s="3">
        <v>2</v>
      </c>
      <c r="M6" s="3">
        <v>1</v>
      </c>
      <c r="N6" s="33">
        <v>1</v>
      </c>
      <c r="O6" s="39">
        <v>2</v>
      </c>
      <c r="P6" s="9">
        <v>1</v>
      </c>
      <c r="Q6" s="9">
        <v>1</v>
      </c>
      <c r="R6" s="9">
        <v>1</v>
      </c>
      <c r="S6" s="40">
        <v>1</v>
      </c>
    </row>
    <row r="7" spans="1:19" s="14" customFormat="1" ht="25" customHeight="1" x14ac:dyDescent="0.2">
      <c r="A7" s="20" t="s">
        <v>39</v>
      </c>
      <c r="B7" s="24">
        <v>3.11</v>
      </c>
      <c r="C7" s="16">
        <v>96</v>
      </c>
      <c r="D7" s="16">
        <v>75</v>
      </c>
      <c r="E7" s="25">
        <v>265</v>
      </c>
      <c r="F7" s="32">
        <v>55.4</v>
      </c>
      <c r="G7" s="3">
        <v>0.16</v>
      </c>
      <c r="H7" s="3">
        <v>35.200000000000003</v>
      </c>
      <c r="I7" s="33">
        <v>53.9</v>
      </c>
      <c r="J7" s="32">
        <v>2</v>
      </c>
      <c r="K7" s="3">
        <v>2</v>
      </c>
      <c r="L7" s="3">
        <v>3</v>
      </c>
      <c r="M7" s="3">
        <v>2</v>
      </c>
      <c r="N7" s="33">
        <v>2</v>
      </c>
      <c r="O7" s="39">
        <v>1</v>
      </c>
      <c r="P7" s="9">
        <v>1</v>
      </c>
      <c r="Q7" s="9">
        <v>2</v>
      </c>
      <c r="R7" s="9">
        <v>2</v>
      </c>
      <c r="S7" s="40">
        <v>3</v>
      </c>
    </row>
    <row r="8" spans="1:19" s="14" customFormat="1" ht="25" customHeight="1" x14ac:dyDescent="0.2">
      <c r="A8" s="20" t="s">
        <v>47</v>
      </c>
      <c r="B8" s="24">
        <v>3.43</v>
      </c>
      <c r="C8" s="16">
        <v>80</v>
      </c>
      <c r="D8" s="16">
        <v>55</v>
      </c>
      <c r="E8" s="25">
        <v>269</v>
      </c>
      <c r="F8" s="32">
        <v>51</v>
      </c>
      <c r="G8" s="3">
        <v>0.2</v>
      </c>
      <c r="H8" s="3">
        <v>50.5</v>
      </c>
      <c r="I8" s="33">
        <v>64</v>
      </c>
      <c r="J8" s="32">
        <v>2</v>
      </c>
      <c r="K8" s="3">
        <v>1</v>
      </c>
      <c r="L8" s="3">
        <v>2</v>
      </c>
      <c r="M8" s="3">
        <v>2</v>
      </c>
      <c r="N8" s="33">
        <v>2</v>
      </c>
      <c r="O8" s="39">
        <v>2</v>
      </c>
      <c r="P8" s="9">
        <v>1</v>
      </c>
      <c r="Q8" s="9">
        <v>1</v>
      </c>
      <c r="R8" s="9">
        <v>2</v>
      </c>
      <c r="S8" s="40">
        <v>1</v>
      </c>
    </row>
    <row r="9" spans="1:19" s="14" customFormat="1" ht="25" customHeight="1" x14ac:dyDescent="0.2">
      <c r="A9" s="20" t="s">
        <v>78</v>
      </c>
      <c r="B9" s="24">
        <v>4.01</v>
      </c>
      <c r="C9" s="16">
        <v>61</v>
      </c>
      <c r="D9" s="16">
        <v>51</v>
      </c>
      <c r="E9" s="25">
        <v>212</v>
      </c>
      <c r="F9" s="32">
        <v>48.2</v>
      </c>
      <c r="G9" s="3">
        <v>0.2</v>
      </c>
      <c r="H9" s="3">
        <v>59.1</v>
      </c>
      <c r="I9" s="33">
        <v>61.9</v>
      </c>
      <c r="J9" s="32">
        <v>3</v>
      </c>
      <c r="K9" s="3">
        <v>3</v>
      </c>
      <c r="L9" s="3">
        <v>2</v>
      </c>
      <c r="M9" s="3">
        <v>3</v>
      </c>
      <c r="N9" s="33">
        <v>3</v>
      </c>
      <c r="O9" s="39">
        <v>2</v>
      </c>
      <c r="P9" s="9">
        <v>2</v>
      </c>
      <c r="Q9" s="9">
        <v>2</v>
      </c>
      <c r="R9" s="9">
        <v>2</v>
      </c>
      <c r="S9" s="40">
        <v>3</v>
      </c>
    </row>
    <row r="10" spans="1:19" s="14" customFormat="1" ht="25" customHeight="1" x14ac:dyDescent="0.2">
      <c r="A10" s="20" t="s">
        <v>100</v>
      </c>
      <c r="B10" s="24">
        <v>3.29</v>
      </c>
      <c r="C10" s="16">
        <v>76</v>
      </c>
      <c r="D10" s="16">
        <v>73</v>
      </c>
      <c r="E10" s="25">
        <v>269</v>
      </c>
      <c r="F10" s="32">
        <v>56.5</v>
      </c>
      <c r="G10" s="3">
        <v>0.17</v>
      </c>
      <c r="H10" s="3">
        <v>62.2</v>
      </c>
      <c r="I10" s="33">
        <v>73.5</v>
      </c>
      <c r="J10" s="32">
        <v>2</v>
      </c>
      <c r="K10" s="3">
        <v>2</v>
      </c>
      <c r="L10" s="3">
        <v>2</v>
      </c>
      <c r="M10" s="3">
        <v>2</v>
      </c>
      <c r="N10" s="33">
        <v>2</v>
      </c>
      <c r="O10" s="39">
        <v>2</v>
      </c>
      <c r="P10" s="9">
        <v>2</v>
      </c>
      <c r="Q10" s="9">
        <v>1</v>
      </c>
      <c r="R10" s="9">
        <v>1</v>
      </c>
      <c r="S10" s="40">
        <v>2</v>
      </c>
    </row>
    <row r="11" spans="1:19" s="14" customFormat="1" ht="25" customHeight="1" x14ac:dyDescent="0.2">
      <c r="A11" s="20" t="s">
        <v>70</v>
      </c>
      <c r="B11" s="24">
        <v>3.41</v>
      </c>
      <c r="C11" s="16">
        <v>71</v>
      </c>
      <c r="D11" s="16">
        <v>60</v>
      </c>
      <c r="E11" s="25">
        <v>169</v>
      </c>
      <c r="F11" s="32">
        <v>45.8</v>
      </c>
      <c r="G11" s="3">
        <v>0.15</v>
      </c>
      <c r="H11" s="3">
        <v>49.7</v>
      </c>
      <c r="I11" s="33">
        <v>60.8</v>
      </c>
      <c r="J11" s="32">
        <v>1</v>
      </c>
      <c r="K11" s="3">
        <v>2</v>
      </c>
      <c r="L11" s="3">
        <v>1</v>
      </c>
      <c r="M11" s="3">
        <v>1</v>
      </c>
      <c r="N11" s="33">
        <v>1</v>
      </c>
      <c r="O11" s="39">
        <v>2</v>
      </c>
      <c r="P11" s="9">
        <v>2</v>
      </c>
      <c r="Q11" s="9">
        <v>2</v>
      </c>
      <c r="R11" s="9">
        <v>1</v>
      </c>
      <c r="S11" s="40">
        <v>1</v>
      </c>
    </row>
    <row r="12" spans="1:19" s="14" customFormat="1" ht="25" customHeight="1" x14ac:dyDescent="0.2">
      <c r="A12" s="20" t="s">
        <v>98</v>
      </c>
      <c r="B12" s="24">
        <v>3.49</v>
      </c>
      <c r="C12" s="16">
        <v>72</v>
      </c>
      <c r="D12" s="16">
        <v>51</v>
      </c>
      <c r="E12" s="25">
        <v>217</v>
      </c>
      <c r="F12" s="32">
        <v>52.5</v>
      </c>
      <c r="G12" s="3">
        <v>0.19</v>
      </c>
      <c r="H12" s="3">
        <v>58.1</v>
      </c>
      <c r="I12" s="33">
        <v>71.3</v>
      </c>
      <c r="J12" s="32">
        <v>1</v>
      </c>
      <c r="K12" s="3">
        <v>1</v>
      </c>
      <c r="L12" s="3">
        <v>1</v>
      </c>
      <c r="M12" s="3">
        <v>2</v>
      </c>
      <c r="N12" s="33">
        <v>2</v>
      </c>
      <c r="O12" s="39">
        <v>1</v>
      </c>
      <c r="P12" s="9">
        <v>1</v>
      </c>
      <c r="Q12" s="9">
        <v>1</v>
      </c>
      <c r="R12" s="9">
        <v>1</v>
      </c>
      <c r="S12" s="40">
        <v>1</v>
      </c>
    </row>
    <row r="13" spans="1:19" ht="25" customHeight="1" x14ac:dyDescent="0.2">
      <c r="A13" s="20" t="s">
        <v>44</v>
      </c>
      <c r="B13" s="24">
        <v>3.29</v>
      </c>
      <c r="C13" s="16">
        <v>72</v>
      </c>
      <c r="D13" s="16">
        <v>62</v>
      </c>
      <c r="E13" s="25">
        <v>221</v>
      </c>
      <c r="F13" s="32">
        <v>50.3</v>
      </c>
      <c r="G13" s="3">
        <v>0.19</v>
      </c>
      <c r="H13" s="3">
        <v>65.099999999999994</v>
      </c>
      <c r="I13" s="33">
        <v>67.5</v>
      </c>
      <c r="J13" s="32">
        <v>2</v>
      </c>
      <c r="K13" s="3">
        <v>1</v>
      </c>
      <c r="L13" s="3">
        <v>2</v>
      </c>
      <c r="M13" s="3">
        <v>2</v>
      </c>
      <c r="N13" s="33">
        <v>2</v>
      </c>
      <c r="O13" s="39">
        <v>3</v>
      </c>
      <c r="P13" s="9">
        <v>3</v>
      </c>
      <c r="Q13" s="9">
        <v>3</v>
      </c>
      <c r="R13" s="9">
        <v>3</v>
      </c>
      <c r="S13" s="40">
        <v>3</v>
      </c>
    </row>
    <row r="14" spans="1:19" ht="25" customHeight="1" x14ac:dyDescent="0.2">
      <c r="A14" s="20" t="s">
        <v>40</v>
      </c>
      <c r="B14" s="24">
        <v>3.74</v>
      </c>
      <c r="C14" s="16">
        <v>53</v>
      </c>
      <c r="D14" s="16">
        <v>43</v>
      </c>
      <c r="E14" s="25">
        <v>139</v>
      </c>
      <c r="F14" s="32">
        <v>39.1</v>
      </c>
      <c r="G14" s="3">
        <v>0.23</v>
      </c>
      <c r="H14" s="3">
        <v>36</v>
      </c>
      <c r="I14" s="33">
        <v>45.6</v>
      </c>
      <c r="J14" s="32">
        <v>1</v>
      </c>
      <c r="K14" s="3">
        <v>1</v>
      </c>
      <c r="L14" s="3">
        <v>1</v>
      </c>
      <c r="M14" s="3">
        <v>1</v>
      </c>
      <c r="N14" s="33">
        <v>1</v>
      </c>
      <c r="O14" s="39">
        <v>1</v>
      </c>
      <c r="P14" s="9">
        <v>1</v>
      </c>
      <c r="Q14" s="9">
        <v>1</v>
      </c>
      <c r="R14" s="9">
        <v>1</v>
      </c>
      <c r="S14" s="40">
        <v>1</v>
      </c>
    </row>
    <row r="15" spans="1:19" ht="25" customHeight="1" x14ac:dyDescent="0.2">
      <c r="A15" s="20" t="s">
        <v>111</v>
      </c>
      <c r="B15" s="28">
        <v>3.1215600000000001</v>
      </c>
      <c r="C15" s="16">
        <v>80</v>
      </c>
      <c r="D15" s="16">
        <v>60</v>
      </c>
      <c r="E15" s="25">
        <v>228</v>
      </c>
      <c r="F15" s="32">
        <v>46.3</v>
      </c>
      <c r="G15" s="3">
        <v>0.18</v>
      </c>
      <c r="H15" s="3">
        <v>52.2</v>
      </c>
      <c r="I15" s="33">
        <v>57.3</v>
      </c>
      <c r="J15" s="32">
        <v>2</v>
      </c>
      <c r="K15" s="3">
        <v>2</v>
      </c>
      <c r="L15" s="3">
        <v>2</v>
      </c>
      <c r="M15" s="3">
        <v>2</v>
      </c>
      <c r="N15" s="33">
        <v>2</v>
      </c>
      <c r="O15" s="39">
        <v>2</v>
      </c>
      <c r="P15" s="9">
        <v>2</v>
      </c>
      <c r="Q15" s="9">
        <v>2</v>
      </c>
      <c r="R15" s="9">
        <v>2</v>
      </c>
      <c r="S15" s="40">
        <v>2</v>
      </c>
    </row>
    <row r="16" spans="1:19" ht="25" customHeight="1" x14ac:dyDescent="0.2">
      <c r="A16" s="20" t="s">
        <v>97</v>
      </c>
      <c r="B16" s="24">
        <v>3.43</v>
      </c>
      <c r="C16" s="16">
        <v>74</v>
      </c>
      <c r="D16" s="16">
        <v>64</v>
      </c>
      <c r="E16" s="25">
        <v>240</v>
      </c>
      <c r="F16" s="32">
        <v>42.4</v>
      </c>
      <c r="G16" s="3">
        <v>0.18</v>
      </c>
      <c r="H16" s="3">
        <v>40.6</v>
      </c>
      <c r="I16" s="33">
        <v>47.5</v>
      </c>
      <c r="J16" s="32">
        <v>2</v>
      </c>
      <c r="K16" s="3">
        <v>2</v>
      </c>
      <c r="L16" s="3">
        <v>2</v>
      </c>
      <c r="M16" s="3">
        <v>2</v>
      </c>
      <c r="N16" s="33">
        <v>1</v>
      </c>
      <c r="O16" s="39">
        <v>2</v>
      </c>
      <c r="P16" s="9">
        <v>2</v>
      </c>
      <c r="Q16" s="9">
        <v>2</v>
      </c>
      <c r="R16" s="9">
        <v>2</v>
      </c>
      <c r="S16" s="40">
        <v>2</v>
      </c>
    </row>
    <row r="17" spans="1:19" ht="25" customHeight="1" x14ac:dyDescent="0.2">
      <c r="A17" s="20" t="s">
        <v>86</v>
      </c>
      <c r="B17" s="24">
        <v>3.46</v>
      </c>
      <c r="C17" s="16">
        <v>66</v>
      </c>
      <c r="D17" s="16">
        <v>63</v>
      </c>
      <c r="E17" s="25">
        <v>267</v>
      </c>
      <c r="F17" s="32">
        <v>55.4</v>
      </c>
      <c r="G17" s="3">
        <v>0.15</v>
      </c>
      <c r="H17" s="3">
        <v>56.7</v>
      </c>
      <c r="I17" s="33">
        <v>68.8</v>
      </c>
      <c r="J17" s="32">
        <v>3</v>
      </c>
      <c r="K17" s="3">
        <v>3</v>
      </c>
      <c r="L17" s="3">
        <v>3</v>
      </c>
      <c r="M17" s="3">
        <v>3</v>
      </c>
      <c r="N17" s="33">
        <v>2</v>
      </c>
      <c r="O17" s="39">
        <v>2</v>
      </c>
      <c r="P17" s="9">
        <v>2</v>
      </c>
      <c r="Q17" s="9">
        <v>2</v>
      </c>
      <c r="R17" s="9">
        <v>2</v>
      </c>
      <c r="S17" s="40">
        <v>2</v>
      </c>
    </row>
    <row r="18" spans="1:19" ht="25" customHeight="1" x14ac:dyDescent="0.2">
      <c r="A18" s="20" t="s">
        <v>59</v>
      </c>
      <c r="B18" s="24">
        <v>3.52</v>
      </c>
      <c r="C18" s="16">
        <v>55</v>
      </c>
      <c r="D18" s="16">
        <v>55</v>
      </c>
      <c r="E18" s="25">
        <v>166</v>
      </c>
      <c r="F18" s="32">
        <v>43.7</v>
      </c>
      <c r="G18" s="3">
        <v>0.16</v>
      </c>
      <c r="H18" s="3">
        <v>41.3</v>
      </c>
      <c r="I18" s="33">
        <v>52.3</v>
      </c>
      <c r="J18" s="32">
        <v>1</v>
      </c>
      <c r="K18" s="3">
        <v>1</v>
      </c>
      <c r="L18" s="3">
        <v>1</v>
      </c>
      <c r="M18" s="3">
        <v>1</v>
      </c>
      <c r="N18" s="33">
        <v>1</v>
      </c>
      <c r="O18" s="39">
        <v>1</v>
      </c>
      <c r="P18" s="9">
        <v>1</v>
      </c>
      <c r="Q18" s="9">
        <v>2</v>
      </c>
      <c r="R18" s="9">
        <v>2</v>
      </c>
      <c r="S18" s="40">
        <v>1</v>
      </c>
    </row>
    <row r="19" spans="1:19" ht="25" customHeight="1" x14ac:dyDescent="0.2">
      <c r="A19" s="20" t="s">
        <v>66</v>
      </c>
      <c r="B19" s="24">
        <v>3.6</v>
      </c>
      <c r="C19" s="16">
        <v>65</v>
      </c>
      <c r="D19" s="16">
        <v>56</v>
      </c>
      <c r="E19" s="25">
        <v>161</v>
      </c>
      <c r="F19" s="32">
        <v>55.4</v>
      </c>
      <c r="G19" s="3">
        <v>0.14000000000000001</v>
      </c>
      <c r="H19" s="3">
        <v>63.1</v>
      </c>
      <c r="I19" s="33">
        <v>72.7</v>
      </c>
      <c r="J19" s="32">
        <v>3</v>
      </c>
      <c r="K19" s="3">
        <v>3</v>
      </c>
      <c r="L19" s="3">
        <v>3</v>
      </c>
      <c r="M19" s="3">
        <v>3</v>
      </c>
      <c r="N19" s="33">
        <v>3</v>
      </c>
      <c r="O19" s="39">
        <v>3</v>
      </c>
      <c r="P19" s="9">
        <v>2</v>
      </c>
      <c r="Q19" s="9">
        <v>2</v>
      </c>
      <c r="R19" s="9">
        <v>2</v>
      </c>
      <c r="S19" s="40">
        <v>3</v>
      </c>
    </row>
    <row r="20" spans="1:19" ht="25" customHeight="1" x14ac:dyDescent="0.2">
      <c r="A20" s="20" t="s">
        <v>63</v>
      </c>
      <c r="B20" s="24">
        <v>3.23</v>
      </c>
      <c r="C20" s="16">
        <v>76</v>
      </c>
      <c r="D20" s="16">
        <v>64</v>
      </c>
      <c r="E20" s="25">
        <v>350</v>
      </c>
      <c r="F20" s="32">
        <v>57.2</v>
      </c>
      <c r="G20" s="3">
        <v>0.14000000000000001</v>
      </c>
      <c r="H20" s="3">
        <v>61.8</v>
      </c>
      <c r="I20" s="33">
        <v>73.2</v>
      </c>
      <c r="J20" s="32">
        <v>3</v>
      </c>
      <c r="K20" s="3">
        <v>3</v>
      </c>
      <c r="L20" s="3">
        <v>3</v>
      </c>
      <c r="M20" s="3">
        <v>3</v>
      </c>
      <c r="N20" s="33">
        <v>3</v>
      </c>
      <c r="O20" s="39">
        <v>3</v>
      </c>
      <c r="P20" s="9">
        <v>3</v>
      </c>
      <c r="Q20" s="9">
        <v>3</v>
      </c>
      <c r="R20" s="9">
        <v>3</v>
      </c>
      <c r="S20" s="40">
        <v>3</v>
      </c>
    </row>
    <row r="21" spans="1:19" ht="25" customHeight="1" x14ac:dyDescent="0.2">
      <c r="A21" s="20" t="s">
        <v>60</v>
      </c>
      <c r="B21" s="24">
        <v>3.36</v>
      </c>
      <c r="C21" s="16">
        <v>71</v>
      </c>
      <c r="D21" s="16">
        <v>59</v>
      </c>
      <c r="E21" s="25">
        <v>197</v>
      </c>
      <c r="F21" s="32">
        <v>47.5</v>
      </c>
      <c r="G21" s="3">
        <v>0.19</v>
      </c>
      <c r="H21" s="3">
        <v>49.9</v>
      </c>
      <c r="I21" s="33">
        <v>60.6</v>
      </c>
      <c r="J21" s="32">
        <v>2</v>
      </c>
      <c r="K21" s="3">
        <v>2</v>
      </c>
      <c r="L21" s="3">
        <v>2</v>
      </c>
      <c r="M21" s="3">
        <v>2</v>
      </c>
      <c r="N21" s="33">
        <v>3</v>
      </c>
      <c r="O21" s="39">
        <v>2</v>
      </c>
      <c r="P21" s="9">
        <v>2</v>
      </c>
      <c r="Q21" s="9">
        <v>2</v>
      </c>
      <c r="R21" s="9">
        <v>2</v>
      </c>
      <c r="S21" s="40">
        <v>3</v>
      </c>
    </row>
    <row r="22" spans="1:19" ht="25" customHeight="1" x14ac:dyDescent="0.2">
      <c r="A22" s="20" t="s">
        <v>99</v>
      </c>
      <c r="B22" s="24">
        <v>3.94</v>
      </c>
      <c r="C22" s="16">
        <v>61</v>
      </c>
      <c r="D22" s="16">
        <v>51</v>
      </c>
      <c r="E22" s="25">
        <v>116</v>
      </c>
      <c r="F22" s="32">
        <v>44</v>
      </c>
      <c r="G22" s="3">
        <v>0.2</v>
      </c>
      <c r="H22" s="3">
        <v>37.5</v>
      </c>
      <c r="I22" s="33">
        <v>45</v>
      </c>
      <c r="J22" s="32">
        <v>1</v>
      </c>
      <c r="K22" s="3">
        <v>2</v>
      </c>
      <c r="L22" s="3">
        <v>1</v>
      </c>
      <c r="M22" s="3">
        <v>2</v>
      </c>
      <c r="N22" s="33">
        <v>1</v>
      </c>
      <c r="O22" s="39">
        <v>2</v>
      </c>
      <c r="P22" s="9">
        <v>1</v>
      </c>
      <c r="Q22" s="9">
        <v>1</v>
      </c>
      <c r="R22" s="9">
        <v>1</v>
      </c>
      <c r="S22" s="40">
        <v>1</v>
      </c>
    </row>
    <row r="23" spans="1:19" ht="25" customHeight="1" x14ac:dyDescent="0.2">
      <c r="A23" s="20" t="s">
        <v>71</v>
      </c>
      <c r="B23" s="24">
        <v>3.36</v>
      </c>
      <c r="C23" s="16">
        <v>69</v>
      </c>
      <c r="D23" s="16">
        <v>56</v>
      </c>
      <c r="E23" s="25">
        <v>212</v>
      </c>
      <c r="F23" s="32">
        <v>46.5</v>
      </c>
      <c r="G23" s="3">
        <v>0.2</v>
      </c>
      <c r="H23" s="3">
        <v>48.8</v>
      </c>
      <c r="I23" s="33">
        <v>56.7</v>
      </c>
      <c r="J23" s="32">
        <v>2</v>
      </c>
      <c r="K23" s="3">
        <v>2</v>
      </c>
      <c r="L23" s="3">
        <v>1</v>
      </c>
      <c r="M23" s="3">
        <v>2</v>
      </c>
      <c r="N23" s="33">
        <v>1</v>
      </c>
      <c r="O23" s="39">
        <v>2</v>
      </c>
      <c r="P23" s="9">
        <v>2</v>
      </c>
      <c r="Q23" s="9">
        <v>2</v>
      </c>
      <c r="R23" s="9">
        <v>2</v>
      </c>
      <c r="S23" s="40">
        <v>1</v>
      </c>
    </row>
    <row r="24" spans="1:19" ht="25" customHeight="1" x14ac:dyDescent="0.2">
      <c r="A24" s="20" t="s">
        <v>93</v>
      </c>
      <c r="B24" s="24">
        <v>3.51</v>
      </c>
      <c r="C24" s="16">
        <v>72</v>
      </c>
      <c r="D24" s="16">
        <v>67</v>
      </c>
      <c r="E24" s="25">
        <v>165</v>
      </c>
      <c r="F24" s="32">
        <v>45.2</v>
      </c>
      <c r="G24" s="3">
        <v>0.16</v>
      </c>
      <c r="H24" s="3">
        <v>47</v>
      </c>
      <c r="I24" s="33">
        <v>51</v>
      </c>
      <c r="J24" s="32">
        <v>2</v>
      </c>
      <c r="K24" s="3">
        <v>2</v>
      </c>
      <c r="L24" s="3">
        <v>1</v>
      </c>
      <c r="M24" s="3">
        <v>1</v>
      </c>
      <c r="N24" s="33">
        <v>2</v>
      </c>
      <c r="O24" s="39">
        <v>2</v>
      </c>
      <c r="P24" s="9">
        <v>1</v>
      </c>
      <c r="Q24" s="9">
        <v>2</v>
      </c>
      <c r="R24" s="9">
        <v>2</v>
      </c>
      <c r="S24" s="40">
        <v>2</v>
      </c>
    </row>
    <row r="25" spans="1:19" ht="25" customHeight="1" x14ac:dyDescent="0.2">
      <c r="A25" s="20" t="s">
        <v>38</v>
      </c>
      <c r="B25" s="24">
        <v>3.41</v>
      </c>
      <c r="C25" s="16">
        <v>69</v>
      </c>
      <c r="D25" s="16">
        <v>69</v>
      </c>
      <c r="E25" s="25">
        <v>184</v>
      </c>
      <c r="F25" s="32">
        <v>44.2</v>
      </c>
      <c r="G25" s="3">
        <v>0.23</v>
      </c>
      <c r="H25" s="3">
        <v>43.5</v>
      </c>
      <c r="I25" s="33">
        <v>47.8</v>
      </c>
      <c r="J25" s="32">
        <v>1</v>
      </c>
      <c r="K25" s="3">
        <v>1</v>
      </c>
      <c r="L25" s="3">
        <v>1</v>
      </c>
      <c r="M25" s="3">
        <v>2</v>
      </c>
      <c r="N25" s="33">
        <v>2</v>
      </c>
      <c r="O25" s="39">
        <v>2</v>
      </c>
      <c r="P25" s="9">
        <v>1</v>
      </c>
      <c r="Q25" s="9">
        <v>1</v>
      </c>
      <c r="R25" s="9">
        <v>2</v>
      </c>
      <c r="S25" s="40">
        <v>1</v>
      </c>
    </row>
    <row r="26" spans="1:19" ht="25" customHeight="1" x14ac:dyDescent="0.2">
      <c r="A26" s="20" t="s">
        <v>41</v>
      </c>
      <c r="B26" s="24">
        <v>3.53</v>
      </c>
      <c r="C26" s="16">
        <v>65</v>
      </c>
      <c r="D26" s="16">
        <v>57</v>
      </c>
      <c r="E26" s="25">
        <v>185</v>
      </c>
      <c r="F26" s="32">
        <v>48.2</v>
      </c>
      <c r="G26" s="3">
        <v>0.18</v>
      </c>
      <c r="H26" s="3">
        <v>55.8</v>
      </c>
      <c r="I26" s="33">
        <v>59.1</v>
      </c>
      <c r="J26" s="32">
        <v>2</v>
      </c>
      <c r="K26" s="3">
        <v>2</v>
      </c>
      <c r="L26" s="3">
        <v>3</v>
      </c>
      <c r="M26" s="3">
        <v>2</v>
      </c>
      <c r="N26" s="33">
        <v>2</v>
      </c>
      <c r="O26" s="39">
        <v>2</v>
      </c>
      <c r="P26" s="9">
        <v>1</v>
      </c>
      <c r="Q26" s="9">
        <v>2</v>
      </c>
      <c r="R26" s="9">
        <v>2</v>
      </c>
      <c r="S26" s="40">
        <v>2</v>
      </c>
    </row>
    <row r="27" spans="1:19" ht="25" customHeight="1" x14ac:dyDescent="0.2">
      <c r="A27" s="20" t="s">
        <v>42</v>
      </c>
      <c r="B27" s="24">
        <v>3.53</v>
      </c>
      <c r="C27" s="16">
        <v>71</v>
      </c>
      <c r="D27" s="16">
        <v>59</v>
      </c>
      <c r="E27" s="25">
        <v>198</v>
      </c>
      <c r="F27" s="32">
        <v>41.9</v>
      </c>
      <c r="G27" s="3">
        <v>0.2</v>
      </c>
      <c r="H27" s="3">
        <v>44.1</v>
      </c>
      <c r="I27" s="33">
        <v>56.3</v>
      </c>
      <c r="J27" s="32">
        <v>2</v>
      </c>
      <c r="K27" s="3">
        <v>1</v>
      </c>
      <c r="L27" s="3">
        <v>1</v>
      </c>
      <c r="M27" s="3">
        <v>2</v>
      </c>
      <c r="N27" s="33">
        <v>1</v>
      </c>
      <c r="O27" s="39">
        <v>1</v>
      </c>
      <c r="P27" s="9">
        <v>1</v>
      </c>
      <c r="Q27" s="9">
        <v>1</v>
      </c>
      <c r="R27" s="9">
        <v>1</v>
      </c>
      <c r="S27" s="40">
        <v>1</v>
      </c>
    </row>
    <row r="28" spans="1:19" ht="25" customHeight="1" x14ac:dyDescent="0.2">
      <c r="A28" s="20" t="s">
        <v>53</v>
      </c>
      <c r="B28" s="24">
        <v>3.95</v>
      </c>
      <c r="C28" s="16">
        <v>57</v>
      </c>
      <c r="D28" s="16">
        <v>52</v>
      </c>
      <c r="E28" s="25">
        <v>166</v>
      </c>
      <c r="F28" s="32">
        <v>42.1</v>
      </c>
      <c r="G28" s="3">
        <v>0.2</v>
      </c>
      <c r="H28" s="3">
        <v>45.5</v>
      </c>
      <c r="I28" s="33">
        <v>51.5</v>
      </c>
      <c r="J28" s="32">
        <v>1</v>
      </c>
      <c r="K28" s="3">
        <v>1</v>
      </c>
      <c r="L28" s="3">
        <v>2</v>
      </c>
      <c r="M28" s="3">
        <v>2</v>
      </c>
      <c r="N28" s="33">
        <v>2</v>
      </c>
      <c r="O28" s="39">
        <v>1</v>
      </c>
      <c r="P28" s="9">
        <v>1</v>
      </c>
      <c r="Q28" s="9">
        <v>2</v>
      </c>
      <c r="R28" s="9">
        <v>1</v>
      </c>
      <c r="S28" s="40">
        <v>1</v>
      </c>
    </row>
    <row r="29" spans="1:19" ht="25" customHeight="1" x14ac:dyDescent="0.2">
      <c r="A29" s="20" t="s">
        <v>108</v>
      </c>
      <c r="B29" s="28">
        <v>3.2549600000000001</v>
      </c>
      <c r="C29" s="16">
        <v>72</v>
      </c>
      <c r="D29" s="16">
        <v>64</v>
      </c>
      <c r="E29" s="25">
        <v>235</v>
      </c>
      <c r="F29" s="32">
        <v>39.9</v>
      </c>
      <c r="G29" s="3">
        <v>0.22</v>
      </c>
      <c r="H29" s="3">
        <v>33.4</v>
      </c>
      <c r="I29" s="33">
        <v>38.5</v>
      </c>
      <c r="J29" s="32">
        <v>2</v>
      </c>
      <c r="K29" s="3">
        <v>2</v>
      </c>
      <c r="L29" s="3">
        <v>2</v>
      </c>
      <c r="M29" s="3">
        <v>1</v>
      </c>
      <c r="N29" s="33">
        <v>2</v>
      </c>
      <c r="O29" s="39">
        <v>3</v>
      </c>
      <c r="P29" s="9">
        <v>3</v>
      </c>
      <c r="Q29" s="9">
        <v>3</v>
      </c>
      <c r="R29" s="9">
        <v>3</v>
      </c>
      <c r="S29" s="40">
        <v>3</v>
      </c>
    </row>
    <row r="30" spans="1:19" ht="25" customHeight="1" x14ac:dyDescent="0.2">
      <c r="A30" s="20" t="s">
        <v>62</v>
      </c>
      <c r="B30" s="24">
        <v>3.49</v>
      </c>
      <c r="C30" s="16">
        <v>62</v>
      </c>
      <c r="D30" s="16">
        <v>57</v>
      </c>
      <c r="E30" s="25">
        <v>154</v>
      </c>
      <c r="F30" s="32">
        <v>42.1</v>
      </c>
      <c r="G30" s="3">
        <v>0.2</v>
      </c>
      <c r="H30" s="3">
        <v>44.1</v>
      </c>
      <c r="I30" s="33">
        <v>49.5</v>
      </c>
      <c r="J30" s="32">
        <v>1</v>
      </c>
      <c r="K30" s="3">
        <v>2</v>
      </c>
      <c r="L30" s="3">
        <v>2</v>
      </c>
      <c r="M30" s="3">
        <v>1</v>
      </c>
      <c r="N30" s="33">
        <v>1</v>
      </c>
      <c r="O30" s="39">
        <v>1</v>
      </c>
      <c r="P30" s="9">
        <v>1</v>
      </c>
      <c r="Q30" s="9">
        <v>1</v>
      </c>
      <c r="R30" s="9">
        <v>2</v>
      </c>
      <c r="S30" s="40">
        <v>1</v>
      </c>
    </row>
    <row r="31" spans="1:19" ht="25" customHeight="1" x14ac:dyDescent="0.2">
      <c r="A31" s="20" t="s">
        <v>57</v>
      </c>
      <c r="B31" s="24">
        <v>3.42</v>
      </c>
      <c r="C31" s="16">
        <v>62</v>
      </c>
      <c r="D31" s="16">
        <v>62</v>
      </c>
      <c r="E31" s="25">
        <v>221</v>
      </c>
      <c r="F31" s="32">
        <v>47.2</v>
      </c>
      <c r="G31" s="3">
        <v>0.19</v>
      </c>
      <c r="H31" s="3">
        <v>44.3</v>
      </c>
      <c r="I31" s="33">
        <v>56.3</v>
      </c>
      <c r="J31" s="32">
        <v>2</v>
      </c>
      <c r="K31" s="3">
        <v>2</v>
      </c>
      <c r="L31" s="3">
        <v>2</v>
      </c>
      <c r="M31" s="3">
        <v>2</v>
      </c>
      <c r="N31" s="33">
        <v>2</v>
      </c>
      <c r="O31" s="39">
        <v>2</v>
      </c>
      <c r="P31" s="9">
        <v>1</v>
      </c>
      <c r="Q31" s="9">
        <v>1</v>
      </c>
      <c r="R31" s="9">
        <v>1</v>
      </c>
      <c r="S31" s="40">
        <v>1</v>
      </c>
    </row>
    <row r="32" spans="1:19" ht="25" customHeight="1" x14ac:dyDescent="0.2">
      <c r="A32" s="20" t="s">
        <v>56</v>
      </c>
      <c r="B32" s="24">
        <v>3.31</v>
      </c>
      <c r="C32" s="16">
        <v>75</v>
      </c>
      <c r="D32" s="16">
        <v>66</v>
      </c>
      <c r="E32" s="25">
        <v>211</v>
      </c>
      <c r="F32" s="32">
        <v>44</v>
      </c>
      <c r="G32" s="3">
        <v>0.19</v>
      </c>
      <c r="H32" s="3">
        <v>49.1</v>
      </c>
      <c r="I32" s="33">
        <v>54.3</v>
      </c>
      <c r="J32" s="32">
        <v>2</v>
      </c>
      <c r="K32" s="3">
        <v>2</v>
      </c>
      <c r="L32" s="3">
        <v>3</v>
      </c>
      <c r="M32" s="3">
        <v>2</v>
      </c>
      <c r="N32" s="33">
        <v>3</v>
      </c>
      <c r="O32" s="39">
        <v>2</v>
      </c>
      <c r="P32" s="9">
        <v>2</v>
      </c>
      <c r="Q32" s="9">
        <v>2</v>
      </c>
      <c r="R32" s="9">
        <v>2</v>
      </c>
      <c r="S32" s="40">
        <v>1</v>
      </c>
    </row>
    <row r="33" spans="1:19" ht="25" customHeight="1" x14ac:dyDescent="0.2">
      <c r="A33" s="20" t="s">
        <v>101</v>
      </c>
      <c r="B33" s="24">
        <v>3.52</v>
      </c>
      <c r="C33" s="16">
        <v>66</v>
      </c>
      <c r="D33" s="16">
        <v>58</v>
      </c>
      <c r="E33" s="25">
        <v>144</v>
      </c>
      <c r="F33" s="32">
        <v>41.8</v>
      </c>
      <c r="G33" s="3">
        <v>0.21</v>
      </c>
      <c r="H33" s="3">
        <v>43.8</v>
      </c>
      <c r="I33" s="33">
        <v>56.4</v>
      </c>
      <c r="J33" s="32">
        <v>2</v>
      </c>
      <c r="K33" s="3">
        <v>2</v>
      </c>
      <c r="L33" s="3">
        <v>2</v>
      </c>
      <c r="M33" s="3">
        <v>2</v>
      </c>
      <c r="N33" s="33">
        <v>2</v>
      </c>
      <c r="O33" s="39">
        <v>2</v>
      </c>
      <c r="P33" s="9">
        <v>1</v>
      </c>
      <c r="Q33" s="9">
        <v>2</v>
      </c>
      <c r="R33" s="9">
        <v>2</v>
      </c>
      <c r="S33" s="40">
        <v>2</v>
      </c>
    </row>
    <row r="34" spans="1:19" ht="25" customHeight="1" x14ac:dyDescent="0.2">
      <c r="A34" s="20" t="s">
        <v>91</v>
      </c>
      <c r="B34" s="24">
        <v>3.26</v>
      </c>
      <c r="C34" s="16">
        <v>76</v>
      </c>
      <c r="D34" s="16">
        <v>62</v>
      </c>
      <c r="E34" s="25">
        <v>191</v>
      </c>
      <c r="F34" s="32">
        <v>47.8</v>
      </c>
      <c r="G34" s="3">
        <v>0.16</v>
      </c>
      <c r="H34" s="3">
        <v>56.8</v>
      </c>
      <c r="I34" s="33">
        <v>63.1</v>
      </c>
      <c r="J34" s="32">
        <v>2</v>
      </c>
      <c r="K34" s="3">
        <v>2</v>
      </c>
      <c r="L34" s="3">
        <v>2</v>
      </c>
      <c r="M34" s="3">
        <v>3</v>
      </c>
      <c r="N34" s="33">
        <v>3</v>
      </c>
      <c r="O34" s="39">
        <v>2</v>
      </c>
      <c r="P34" s="9">
        <v>2</v>
      </c>
      <c r="Q34" s="9">
        <v>1</v>
      </c>
      <c r="R34" s="9">
        <v>2</v>
      </c>
      <c r="S34" s="40">
        <v>1</v>
      </c>
    </row>
    <row r="35" spans="1:19" ht="25" customHeight="1" x14ac:dyDescent="0.2">
      <c r="A35" s="20" t="s">
        <v>92</v>
      </c>
      <c r="B35" s="24">
        <v>3.73</v>
      </c>
      <c r="C35" s="16">
        <v>65</v>
      </c>
      <c r="D35" s="16">
        <v>60</v>
      </c>
      <c r="E35" s="25">
        <v>184</v>
      </c>
      <c r="F35" s="32">
        <v>42.7</v>
      </c>
      <c r="G35" s="3">
        <v>0.22</v>
      </c>
      <c r="H35" s="3">
        <v>48.3</v>
      </c>
      <c r="I35" s="33">
        <v>60.3</v>
      </c>
      <c r="J35" s="32">
        <v>2</v>
      </c>
      <c r="K35" s="3">
        <v>2</v>
      </c>
      <c r="L35" s="3">
        <v>1</v>
      </c>
      <c r="M35" s="3">
        <v>2</v>
      </c>
      <c r="N35" s="33">
        <v>2</v>
      </c>
      <c r="O35" s="39">
        <v>2</v>
      </c>
      <c r="P35" s="9">
        <v>1</v>
      </c>
      <c r="Q35" s="9">
        <v>1</v>
      </c>
      <c r="R35" s="9">
        <v>1</v>
      </c>
      <c r="S35" s="40">
        <v>2</v>
      </c>
    </row>
    <row r="36" spans="1:19" ht="25" customHeight="1" x14ac:dyDescent="0.2">
      <c r="A36" s="20" t="s">
        <v>52</v>
      </c>
      <c r="B36" s="24">
        <v>3.43</v>
      </c>
      <c r="C36" s="16">
        <v>75</v>
      </c>
      <c r="D36" s="16">
        <v>57</v>
      </c>
      <c r="E36" s="25">
        <v>231</v>
      </c>
      <c r="F36" s="32">
        <v>49.1</v>
      </c>
      <c r="G36" s="3">
        <v>0.19</v>
      </c>
      <c r="H36" s="3">
        <v>56.1</v>
      </c>
      <c r="I36" s="33">
        <v>63.4</v>
      </c>
      <c r="J36" s="32">
        <v>3</v>
      </c>
      <c r="K36" s="3">
        <v>3</v>
      </c>
      <c r="L36" s="3">
        <v>3</v>
      </c>
      <c r="M36" s="3">
        <v>3</v>
      </c>
      <c r="N36" s="33">
        <v>3</v>
      </c>
      <c r="O36" s="39">
        <v>3</v>
      </c>
      <c r="P36" s="9">
        <v>2</v>
      </c>
      <c r="Q36" s="9">
        <v>2</v>
      </c>
      <c r="R36" s="9">
        <v>3</v>
      </c>
      <c r="S36" s="40">
        <v>3</v>
      </c>
    </row>
    <row r="37" spans="1:19" ht="25" customHeight="1" x14ac:dyDescent="0.2">
      <c r="A37" s="20" t="s">
        <v>46</v>
      </c>
      <c r="B37" s="24">
        <v>3.89</v>
      </c>
      <c r="C37" s="16">
        <v>72</v>
      </c>
      <c r="D37" s="16">
        <v>55</v>
      </c>
      <c r="E37" s="25">
        <v>211</v>
      </c>
      <c r="F37" s="32">
        <v>50.5</v>
      </c>
      <c r="G37" s="3">
        <v>0.19</v>
      </c>
      <c r="H37" s="3">
        <v>53.5</v>
      </c>
      <c r="I37" s="33">
        <v>67.2</v>
      </c>
      <c r="J37" s="32">
        <v>2</v>
      </c>
      <c r="K37" s="3">
        <v>2</v>
      </c>
      <c r="L37" s="3">
        <v>2</v>
      </c>
      <c r="M37" s="3">
        <v>2</v>
      </c>
      <c r="N37" s="33">
        <v>2</v>
      </c>
      <c r="O37" s="39">
        <v>1</v>
      </c>
      <c r="P37" s="9">
        <v>1</v>
      </c>
      <c r="Q37" s="9">
        <v>1</v>
      </c>
      <c r="R37" s="9">
        <v>1</v>
      </c>
      <c r="S37" s="40">
        <v>1</v>
      </c>
    </row>
    <row r="38" spans="1:19" ht="25" customHeight="1" x14ac:dyDescent="0.2">
      <c r="A38" s="20" t="s">
        <v>74</v>
      </c>
      <c r="B38" s="24">
        <v>3.65</v>
      </c>
      <c r="C38" s="16">
        <v>66</v>
      </c>
      <c r="D38" s="16">
        <v>52</v>
      </c>
      <c r="E38" s="25">
        <v>164</v>
      </c>
      <c r="F38" s="32">
        <v>45.8</v>
      </c>
      <c r="G38" s="3">
        <v>0.19</v>
      </c>
      <c r="H38" s="3">
        <v>36.6</v>
      </c>
      <c r="I38" s="33">
        <v>38.299999999999997</v>
      </c>
      <c r="J38" s="32">
        <v>1</v>
      </c>
      <c r="K38" s="3">
        <v>1</v>
      </c>
      <c r="L38" s="3">
        <v>2</v>
      </c>
      <c r="M38" s="3">
        <v>1</v>
      </c>
      <c r="N38" s="33">
        <v>2</v>
      </c>
      <c r="O38" s="39">
        <v>2</v>
      </c>
      <c r="P38" s="9">
        <v>2</v>
      </c>
      <c r="Q38" s="9">
        <v>2</v>
      </c>
      <c r="R38" s="9">
        <v>2</v>
      </c>
      <c r="S38" s="40">
        <v>2</v>
      </c>
    </row>
    <row r="39" spans="1:19" ht="25" customHeight="1" x14ac:dyDescent="0.2">
      <c r="A39" s="20" t="s">
        <v>81</v>
      </c>
      <c r="B39" s="24">
        <v>3.77</v>
      </c>
      <c r="C39" s="16">
        <v>50</v>
      </c>
      <c r="D39" s="16">
        <v>56</v>
      </c>
      <c r="E39" s="25">
        <v>197</v>
      </c>
      <c r="F39" s="32">
        <v>47.9</v>
      </c>
      <c r="G39" s="3">
        <v>0.22</v>
      </c>
      <c r="H39" s="3">
        <v>46.8</v>
      </c>
      <c r="I39" s="33">
        <v>50.3</v>
      </c>
      <c r="J39" s="32">
        <v>2</v>
      </c>
      <c r="K39" s="3">
        <v>2</v>
      </c>
      <c r="L39" s="3">
        <v>2</v>
      </c>
      <c r="M39" s="3">
        <v>2</v>
      </c>
      <c r="N39" s="33">
        <v>2</v>
      </c>
      <c r="O39" s="39">
        <v>1</v>
      </c>
      <c r="P39" s="9">
        <v>2</v>
      </c>
      <c r="Q39" s="9">
        <v>1</v>
      </c>
      <c r="R39" s="9">
        <v>1</v>
      </c>
      <c r="S39" s="40">
        <v>1</v>
      </c>
    </row>
    <row r="40" spans="1:19" ht="25" customHeight="1" x14ac:dyDescent="0.2">
      <c r="A40" s="20" t="s">
        <v>58</v>
      </c>
      <c r="B40" s="24">
        <v>3.36</v>
      </c>
      <c r="C40" s="16">
        <v>57</v>
      </c>
      <c r="D40" s="16">
        <v>57</v>
      </c>
      <c r="E40" s="25">
        <v>213</v>
      </c>
      <c r="F40" s="32">
        <v>46.4</v>
      </c>
      <c r="G40" s="3">
        <v>0.18</v>
      </c>
      <c r="H40" s="3">
        <v>45.9</v>
      </c>
      <c r="I40" s="33">
        <v>57.1</v>
      </c>
      <c r="J40" s="32">
        <v>2</v>
      </c>
      <c r="K40" s="3">
        <v>2</v>
      </c>
      <c r="L40" s="3">
        <v>2</v>
      </c>
      <c r="M40" s="3">
        <v>3</v>
      </c>
      <c r="N40" s="33">
        <v>2</v>
      </c>
      <c r="O40" s="39">
        <v>2</v>
      </c>
      <c r="P40" s="9">
        <v>2</v>
      </c>
      <c r="Q40" s="9">
        <v>2</v>
      </c>
      <c r="R40" s="9">
        <v>2</v>
      </c>
      <c r="S40" s="40">
        <v>2</v>
      </c>
    </row>
    <row r="41" spans="1:19" ht="25" customHeight="1" x14ac:dyDescent="0.2">
      <c r="A41" s="20" t="s">
        <v>43</v>
      </c>
      <c r="B41" s="24">
        <v>3.78</v>
      </c>
      <c r="C41" s="16">
        <v>68</v>
      </c>
      <c r="D41" s="16">
        <v>57</v>
      </c>
      <c r="E41" s="25">
        <v>209</v>
      </c>
      <c r="F41" s="32">
        <v>49.4</v>
      </c>
      <c r="G41" s="3">
        <v>0.17</v>
      </c>
      <c r="H41" s="3">
        <v>52.5</v>
      </c>
      <c r="I41" s="33">
        <v>65.099999999999994</v>
      </c>
      <c r="J41" s="32">
        <v>2</v>
      </c>
      <c r="K41" s="3">
        <v>2</v>
      </c>
      <c r="L41" s="3">
        <v>2</v>
      </c>
      <c r="M41" s="3">
        <v>2</v>
      </c>
      <c r="N41" s="33">
        <v>1</v>
      </c>
      <c r="O41" s="39">
        <v>2</v>
      </c>
      <c r="P41" s="9">
        <v>1</v>
      </c>
      <c r="Q41" s="9">
        <v>2</v>
      </c>
      <c r="R41" s="9">
        <v>1</v>
      </c>
      <c r="S41" s="40">
        <v>2</v>
      </c>
    </row>
    <row r="42" spans="1:19" ht="25" customHeight="1" x14ac:dyDescent="0.2">
      <c r="A42" s="20" t="s">
        <v>55</v>
      </c>
      <c r="B42" s="24">
        <v>3.5</v>
      </c>
      <c r="C42" s="16">
        <v>60</v>
      </c>
      <c r="D42" s="16">
        <v>60</v>
      </c>
      <c r="E42" s="25">
        <v>170</v>
      </c>
      <c r="F42" s="32">
        <v>40.5</v>
      </c>
      <c r="G42" s="3">
        <v>0.19</v>
      </c>
      <c r="H42" s="3">
        <v>47.7</v>
      </c>
      <c r="I42" s="33">
        <v>49.8</v>
      </c>
      <c r="J42" s="32">
        <v>2</v>
      </c>
      <c r="K42" s="3">
        <v>2</v>
      </c>
      <c r="L42" s="3">
        <v>2</v>
      </c>
      <c r="M42" s="3">
        <v>2</v>
      </c>
      <c r="N42" s="33">
        <v>2</v>
      </c>
      <c r="O42" s="39">
        <v>2</v>
      </c>
      <c r="P42" s="9">
        <v>2</v>
      </c>
      <c r="Q42" s="9">
        <v>2</v>
      </c>
      <c r="R42" s="9">
        <v>1</v>
      </c>
      <c r="S42" s="40">
        <v>2</v>
      </c>
    </row>
    <row r="43" spans="1:19" ht="25" customHeight="1" x14ac:dyDescent="0.2">
      <c r="A43" s="20" t="s">
        <v>65</v>
      </c>
      <c r="B43" s="24">
        <v>3.19</v>
      </c>
      <c r="C43" s="16">
        <v>82</v>
      </c>
      <c r="D43" s="16">
        <v>67</v>
      </c>
      <c r="E43" s="25">
        <v>312</v>
      </c>
      <c r="F43" s="32">
        <v>51</v>
      </c>
      <c r="G43" s="3">
        <v>0.16</v>
      </c>
      <c r="H43" s="3">
        <v>58.7</v>
      </c>
      <c r="I43" s="33">
        <v>66.7</v>
      </c>
      <c r="J43" s="32">
        <v>2</v>
      </c>
      <c r="K43" s="3">
        <v>1</v>
      </c>
      <c r="L43" s="3">
        <v>2</v>
      </c>
      <c r="M43" s="3">
        <v>2</v>
      </c>
      <c r="N43" s="33">
        <v>2</v>
      </c>
      <c r="O43" s="39">
        <v>2</v>
      </c>
      <c r="P43" s="9">
        <v>1</v>
      </c>
      <c r="Q43" s="9">
        <v>1</v>
      </c>
      <c r="R43" s="9">
        <v>1</v>
      </c>
      <c r="S43" s="40">
        <v>2</v>
      </c>
    </row>
    <row r="44" spans="1:19" ht="25" customHeight="1" x14ac:dyDescent="0.2">
      <c r="A44" s="20" t="s">
        <v>51</v>
      </c>
      <c r="B44" s="24">
        <v>3.63</v>
      </c>
      <c r="C44" s="16">
        <v>70</v>
      </c>
      <c r="D44" s="16">
        <v>61</v>
      </c>
      <c r="E44" s="25">
        <v>200</v>
      </c>
      <c r="F44" s="32">
        <v>47.8</v>
      </c>
      <c r="G44" s="3">
        <v>0.21</v>
      </c>
      <c r="H44" s="3">
        <v>54.3</v>
      </c>
      <c r="I44" s="33">
        <v>61.5</v>
      </c>
      <c r="J44" s="32">
        <v>2</v>
      </c>
      <c r="K44" s="3">
        <v>3</v>
      </c>
      <c r="L44" s="3">
        <v>3</v>
      </c>
      <c r="M44" s="3">
        <v>2</v>
      </c>
      <c r="N44" s="33">
        <v>3</v>
      </c>
      <c r="O44" s="39">
        <v>2</v>
      </c>
      <c r="P44" s="9">
        <v>2</v>
      </c>
      <c r="Q44" s="9">
        <v>2</v>
      </c>
      <c r="R44" s="9">
        <v>2</v>
      </c>
      <c r="S44" s="40">
        <v>3</v>
      </c>
    </row>
    <row r="45" spans="1:19" ht="25" customHeight="1" x14ac:dyDescent="0.2">
      <c r="A45" s="20" t="s">
        <v>89</v>
      </c>
      <c r="B45" s="24">
        <v>3.52</v>
      </c>
      <c r="C45" s="16">
        <v>66</v>
      </c>
      <c r="D45" s="16">
        <v>56</v>
      </c>
      <c r="E45" s="25">
        <v>223</v>
      </c>
      <c r="F45" s="32">
        <v>52.5</v>
      </c>
      <c r="G45" s="3">
        <v>0.16</v>
      </c>
      <c r="H45" s="3">
        <v>38.799999999999997</v>
      </c>
      <c r="I45" s="33">
        <v>42.2</v>
      </c>
      <c r="J45" s="32">
        <v>2</v>
      </c>
      <c r="K45" s="3">
        <v>2</v>
      </c>
      <c r="L45" s="3">
        <v>2</v>
      </c>
      <c r="M45" s="3">
        <v>2</v>
      </c>
      <c r="N45" s="33">
        <v>2</v>
      </c>
      <c r="O45" s="39">
        <v>2</v>
      </c>
      <c r="P45" s="9">
        <v>2</v>
      </c>
      <c r="Q45" s="9">
        <v>2</v>
      </c>
      <c r="R45" s="9">
        <v>2</v>
      </c>
      <c r="S45" s="40">
        <v>2</v>
      </c>
    </row>
    <row r="46" spans="1:19" ht="25" customHeight="1" x14ac:dyDescent="0.2">
      <c r="A46" s="20" t="s">
        <v>68</v>
      </c>
      <c r="B46" s="24">
        <v>3.41</v>
      </c>
      <c r="C46" s="16">
        <v>67</v>
      </c>
      <c r="D46" s="16">
        <v>61</v>
      </c>
      <c r="E46" s="25">
        <v>192</v>
      </c>
      <c r="F46" s="32">
        <v>47.4</v>
      </c>
      <c r="G46" s="3">
        <v>0.15</v>
      </c>
      <c r="H46" s="3">
        <v>42.9</v>
      </c>
      <c r="I46" s="33">
        <v>47.8</v>
      </c>
      <c r="J46" s="32">
        <v>1</v>
      </c>
      <c r="K46" s="3">
        <v>2</v>
      </c>
      <c r="L46" s="3">
        <v>2</v>
      </c>
      <c r="M46" s="3">
        <v>2</v>
      </c>
      <c r="N46" s="33">
        <v>1</v>
      </c>
      <c r="O46" s="39">
        <v>1</v>
      </c>
      <c r="P46" s="9">
        <v>1</v>
      </c>
      <c r="Q46" s="9">
        <v>2</v>
      </c>
      <c r="R46" s="9">
        <v>2</v>
      </c>
      <c r="S46" s="40">
        <v>1</v>
      </c>
    </row>
    <row r="47" spans="1:19" ht="25" customHeight="1" x14ac:dyDescent="0.2">
      <c r="A47" s="20" t="s">
        <v>96</v>
      </c>
      <c r="B47" s="24">
        <v>3.3</v>
      </c>
      <c r="C47" s="16">
        <v>82</v>
      </c>
      <c r="D47" s="16">
        <v>58</v>
      </c>
      <c r="E47" s="25">
        <v>173</v>
      </c>
      <c r="F47" s="32">
        <v>47.4</v>
      </c>
      <c r="G47" s="3">
        <v>0.17</v>
      </c>
      <c r="H47" s="3">
        <v>47.4</v>
      </c>
      <c r="I47" s="33">
        <v>60.5</v>
      </c>
      <c r="J47" s="32">
        <v>2</v>
      </c>
      <c r="K47" s="3">
        <v>2</v>
      </c>
      <c r="L47" s="3">
        <v>1</v>
      </c>
      <c r="M47" s="3">
        <v>2</v>
      </c>
      <c r="N47" s="33">
        <v>2</v>
      </c>
      <c r="O47" s="39">
        <v>3</v>
      </c>
      <c r="P47" s="9">
        <v>2</v>
      </c>
      <c r="Q47" s="9">
        <v>2</v>
      </c>
      <c r="R47" s="9">
        <v>2</v>
      </c>
      <c r="S47" s="40">
        <v>3</v>
      </c>
    </row>
    <row r="48" spans="1:19" ht="25" customHeight="1" x14ac:dyDescent="0.2">
      <c r="A48" s="20" t="s">
        <v>54</v>
      </c>
      <c r="B48" s="24">
        <v>4</v>
      </c>
      <c r="C48" s="16">
        <v>63</v>
      </c>
      <c r="D48" s="16">
        <v>61</v>
      </c>
      <c r="E48" s="25">
        <v>187</v>
      </c>
      <c r="F48" s="32">
        <v>40.9</v>
      </c>
      <c r="G48" s="3">
        <v>0.17</v>
      </c>
      <c r="H48" s="3">
        <v>46.1</v>
      </c>
      <c r="I48" s="33">
        <v>52.6</v>
      </c>
      <c r="J48" s="32">
        <v>1</v>
      </c>
      <c r="K48" s="3">
        <v>1</v>
      </c>
      <c r="L48" s="3">
        <v>1</v>
      </c>
      <c r="M48" s="3">
        <v>1</v>
      </c>
      <c r="N48" s="33">
        <v>1</v>
      </c>
      <c r="O48" s="39">
        <v>2</v>
      </c>
      <c r="P48" s="9">
        <v>1</v>
      </c>
      <c r="Q48" s="9">
        <v>1</v>
      </c>
      <c r="R48" s="9">
        <v>1</v>
      </c>
      <c r="S48" s="40">
        <v>1</v>
      </c>
    </row>
    <row r="49" spans="1:19" ht="25" customHeight="1" x14ac:dyDescent="0.2">
      <c r="A49" s="20" t="s">
        <v>114</v>
      </c>
      <c r="B49" s="28">
        <v>3.38836</v>
      </c>
      <c r="C49" s="16">
        <v>66</v>
      </c>
      <c r="D49" s="16">
        <v>60</v>
      </c>
      <c r="E49" s="25">
        <v>181</v>
      </c>
      <c r="F49" s="32">
        <v>48.1</v>
      </c>
      <c r="G49" s="3">
        <v>0.19</v>
      </c>
      <c r="H49" s="3">
        <v>46.5</v>
      </c>
      <c r="I49" s="33">
        <v>48</v>
      </c>
      <c r="J49" s="32">
        <v>2</v>
      </c>
      <c r="K49" s="3">
        <v>1</v>
      </c>
      <c r="L49" s="3">
        <v>1</v>
      </c>
      <c r="M49" s="3">
        <v>2</v>
      </c>
      <c r="N49" s="33">
        <v>1</v>
      </c>
      <c r="O49" s="39">
        <v>2</v>
      </c>
      <c r="P49" s="9">
        <v>1</v>
      </c>
      <c r="Q49" s="9">
        <v>1</v>
      </c>
      <c r="R49" s="9">
        <v>2</v>
      </c>
      <c r="S49" s="40">
        <v>2</v>
      </c>
    </row>
    <row r="50" spans="1:19" ht="25" customHeight="1" x14ac:dyDescent="0.2">
      <c r="A50" s="20" t="s">
        <v>82</v>
      </c>
      <c r="B50" s="24">
        <v>3.81</v>
      </c>
      <c r="C50" s="16">
        <v>52</v>
      </c>
      <c r="D50" s="16">
        <v>37</v>
      </c>
      <c r="E50" s="25">
        <v>186</v>
      </c>
      <c r="F50" s="32">
        <v>38</v>
      </c>
      <c r="G50" s="3">
        <v>0</v>
      </c>
      <c r="H50" s="3">
        <v>44.1</v>
      </c>
      <c r="I50" s="33">
        <v>49.5</v>
      </c>
      <c r="J50" s="32">
        <v>2</v>
      </c>
      <c r="K50" s="3">
        <v>1</v>
      </c>
      <c r="L50" s="3">
        <v>2</v>
      </c>
      <c r="M50" s="3">
        <v>1</v>
      </c>
      <c r="N50" s="33">
        <v>1</v>
      </c>
      <c r="O50" s="39">
        <v>1</v>
      </c>
      <c r="P50" s="9">
        <v>1</v>
      </c>
      <c r="Q50" s="9">
        <v>1</v>
      </c>
      <c r="R50" s="9">
        <v>1</v>
      </c>
      <c r="S50" s="40">
        <v>1</v>
      </c>
    </row>
    <row r="51" spans="1:19" ht="25" customHeight="1" x14ac:dyDescent="0.2">
      <c r="A51" s="20" t="s">
        <v>113</v>
      </c>
      <c r="B51" s="28">
        <v>3.1282300000000003</v>
      </c>
      <c r="C51" s="16">
        <v>68</v>
      </c>
      <c r="D51" s="16">
        <v>56</v>
      </c>
      <c r="E51" s="25">
        <v>255</v>
      </c>
      <c r="F51" s="32">
        <v>45.8</v>
      </c>
      <c r="G51" s="3">
        <v>0.16</v>
      </c>
      <c r="H51" s="3">
        <v>49.2</v>
      </c>
      <c r="I51" s="33">
        <v>57.1</v>
      </c>
      <c r="J51" s="32">
        <v>2</v>
      </c>
      <c r="K51" s="3">
        <v>2</v>
      </c>
      <c r="L51" s="3">
        <v>1</v>
      </c>
      <c r="M51" s="3">
        <v>1</v>
      </c>
      <c r="N51" s="33">
        <v>1</v>
      </c>
      <c r="O51" s="39">
        <v>1</v>
      </c>
      <c r="P51" s="9">
        <v>1</v>
      </c>
      <c r="Q51" s="9">
        <v>1</v>
      </c>
      <c r="R51" s="9">
        <v>1</v>
      </c>
      <c r="S51" s="40">
        <v>1</v>
      </c>
    </row>
    <row r="52" spans="1:19" ht="25" customHeight="1" x14ac:dyDescent="0.2">
      <c r="A52" s="20" t="s">
        <v>50</v>
      </c>
      <c r="B52" s="24">
        <v>3.64</v>
      </c>
      <c r="C52" s="16">
        <v>66</v>
      </c>
      <c r="D52" s="16">
        <v>60</v>
      </c>
      <c r="E52" s="25">
        <v>196</v>
      </c>
      <c r="F52" s="32">
        <v>45</v>
      </c>
      <c r="G52" s="3">
        <v>0.18</v>
      </c>
      <c r="H52" s="3">
        <v>41.1</v>
      </c>
      <c r="I52" s="33">
        <v>45.4</v>
      </c>
      <c r="J52" s="32">
        <v>1</v>
      </c>
      <c r="K52" s="3">
        <v>2</v>
      </c>
      <c r="L52" s="3">
        <v>2</v>
      </c>
      <c r="M52" s="3">
        <v>2</v>
      </c>
      <c r="N52" s="33">
        <v>2</v>
      </c>
      <c r="O52" s="39">
        <v>1</v>
      </c>
      <c r="P52" s="9">
        <v>1</v>
      </c>
      <c r="Q52" s="9">
        <v>1</v>
      </c>
      <c r="R52" s="9">
        <v>1</v>
      </c>
      <c r="S52" s="40">
        <v>1</v>
      </c>
    </row>
    <row r="53" spans="1:19" ht="25" customHeight="1" x14ac:dyDescent="0.2">
      <c r="A53" s="20" t="s">
        <v>64</v>
      </c>
      <c r="B53" s="28">
        <v>3.1015500000000005</v>
      </c>
      <c r="C53" s="16">
        <v>81</v>
      </c>
      <c r="D53" s="16">
        <v>66</v>
      </c>
      <c r="E53" s="25">
        <v>220</v>
      </c>
      <c r="F53" s="32">
        <v>45</v>
      </c>
      <c r="G53" s="3">
        <v>0.2</v>
      </c>
      <c r="H53" s="3">
        <v>49.2</v>
      </c>
      <c r="I53" s="33">
        <v>56.3</v>
      </c>
      <c r="J53" s="32">
        <v>2</v>
      </c>
      <c r="K53" s="3">
        <v>1</v>
      </c>
      <c r="L53" s="3">
        <v>1</v>
      </c>
      <c r="M53" s="3">
        <v>1</v>
      </c>
      <c r="N53" s="33">
        <v>2</v>
      </c>
      <c r="O53" s="39">
        <v>1</v>
      </c>
      <c r="P53" s="9">
        <v>1</v>
      </c>
      <c r="Q53" s="9">
        <v>1</v>
      </c>
      <c r="R53" s="9">
        <v>2</v>
      </c>
      <c r="S53" s="40">
        <v>1</v>
      </c>
    </row>
    <row r="54" spans="1:19" ht="25" customHeight="1" x14ac:dyDescent="0.2">
      <c r="A54" s="20" t="s">
        <v>85</v>
      </c>
      <c r="B54" s="24">
        <v>3.49</v>
      </c>
      <c r="C54" s="16">
        <v>65</v>
      </c>
      <c r="D54" s="16">
        <v>55</v>
      </c>
      <c r="E54" s="25">
        <v>189</v>
      </c>
      <c r="F54" s="32">
        <v>44.3</v>
      </c>
      <c r="G54" s="3">
        <v>0.2</v>
      </c>
      <c r="H54" s="3">
        <v>45.5</v>
      </c>
      <c r="I54" s="33">
        <v>63.5</v>
      </c>
      <c r="J54" s="32">
        <v>1</v>
      </c>
      <c r="K54" s="3">
        <v>2</v>
      </c>
      <c r="L54" s="3">
        <v>2</v>
      </c>
      <c r="M54" s="3">
        <v>1</v>
      </c>
      <c r="N54" s="33">
        <v>1</v>
      </c>
      <c r="O54" s="39">
        <v>2</v>
      </c>
      <c r="P54" s="9">
        <v>2</v>
      </c>
      <c r="Q54" s="9">
        <v>2</v>
      </c>
      <c r="R54" s="9">
        <v>2</v>
      </c>
      <c r="S54" s="40">
        <v>2</v>
      </c>
    </row>
    <row r="55" spans="1:19" ht="25" customHeight="1" x14ac:dyDescent="0.2">
      <c r="A55" s="20" t="s">
        <v>109</v>
      </c>
      <c r="B55" s="28">
        <v>3.2082699999999997</v>
      </c>
      <c r="C55" s="16">
        <v>68</v>
      </c>
      <c r="D55" s="16">
        <v>56</v>
      </c>
      <c r="E55" s="25">
        <v>239</v>
      </c>
      <c r="F55" s="32">
        <v>40.5</v>
      </c>
      <c r="G55" s="3">
        <v>0.2</v>
      </c>
      <c r="H55" s="3">
        <v>40.299999999999997</v>
      </c>
      <c r="I55" s="33">
        <v>47.6</v>
      </c>
      <c r="J55" s="32">
        <v>2</v>
      </c>
      <c r="K55" s="3">
        <v>1</v>
      </c>
      <c r="L55" s="3">
        <v>1</v>
      </c>
      <c r="M55" s="3">
        <v>1</v>
      </c>
      <c r="N55" s="33">
        <v>2</v>
      </c>
      <c r="O55" s="39">
        <v>3</v>
      </c>
      <c r="P55" s="9">
        <v>3</v>
      </c>
      <c r="Q55" s="9">
        <v>3</v>
      </c>
      <c r="R55" s="9">
        <v>3</v>
      </c>
      <c r="S55" s="40">
        <v>3</v>
      </c>
    </row>
    <row r="56" spans="1:19" ht="25" customHeight="1" x14ac:dyDescent="0.2">
      <c r="A56" s="20" t="s">
        <v>107</v>
      </c>
      <c r="B56" s="24">
        <v>3.31</v>
      </c>
      <c r="C56" s="16">
        <v>78</v>
      </c>
      <c r="D56" s="16">
        <v>63</v>
      </c>
      <c r="E56" s="25">
        <v>262</v>
      </c>
      <c r="F56" s="32">
        <v>43.9</v>
      </c>
      <c r="G56" s="3">
        <v>0.19</v>
      </c>
      <c r="H56" s="3">
        <v>32.1</v>
      </c>
      <c r="I56" s="33">
        <v>40.200000000000003</v>
      </c>
      <c r="J56" s="32">
        <v>2</v>
      </c>
      <c r="K56" s="3">
        <v>2</v>
      </c>
      <c r="L56" s="3">
        <v>3</v>
      </c>
      <c r="M56" s="3">
        <v>2</v>
      </c>
      <c r="N56" s="33">
        <v>3</v>
      </c>
      <c r="O56" s="39">
        <v>2</v>
      </c>
      <c r="P56" s="9">
        <v>1</v>
      </c>
      <c r="Q56" s="9">
        <v>1</v>
      </c>
      <c r="R56" s="9">
        <v>2</v>
      </c>
      <c r="S56" s="40">
        <v>2</v>
      </c>
    </row>
    <row r="57" spans="1:19" ht="25" customHeight="1" x14ac:dyDescent="0.2">
      <c r="A57" s="20" t="s">
        <v>84</v>
      </c>
      <c r="B57" s="24">
        <v>3.72</v>
      </c>
      <c r="C57" s="16">
        <v>60</v>
      </c>
      <c r="D57" s="16">
        <v>54</v>
      </c>
      <c r="E57" s="25">
        <v>196</v>
      </c>
      <c r="F57" s="32">
        <v>47.7</v>
      </c>
      <c r="G57" s="3">
        <v>0.22</v>
      </c>
      <c r="H57" s="3">
        <v>52.7</v>
      </c>
      <c r="I57" s="33">
        <v>65.2</v>
      </c>
      <c r="J57" s="32">
        <v>1</v>
      </c>
      <c r="K57" s="3">
        <v>2</v>
      </c>
      <c r="L57" s="3">
        <v>2</v>
      </c>
      <c r="M57" s="3">
        <v>1</v>
      </c>
      <c r="N57" s="33">
        <v>1</v>
      </c>
      <c r="O57" s="39">
        <v>2</v>
      </c>
      <c r="P57" s="9">
        <v>2</v>
      </c>
      <c r="Q57" s="9">
        <v>2</v>
      </c>
      <c r="R57" s="9">
        <v>2</v>
      </c>
      <c r="S57" s="40">
        <v>3</v>
      </c>
    </row>
    <row r="58" spans="1:19" ht="25" customHeight="1" x14ac:dyDescent="0.2">
      <c r="A58" s="20" t="s">
        <v>67</v>
      </c>
      <c r="B58" s="24">
        <v>3.56</v>
      </c>
      <c r="C58" s="16">
        <v>67</v>
      </c>
      <c r="D58" s="16">
        <v>61</v>
      </c>
      <c r="E58" s="25">
        <v>220</v>
      </c>
      <c r="F58" s="32">
        <v>46.6</v>
      </c>
      <c r="G58" s="3">
        <v>0.17</v>
      </c>
      <c r="H58" s="3">
        <v>52.1</v>
      </c>
      <c r="I58" s="33">
        <v>63.7</v>
      </c>
      <c r="J58" s="32">
        <v>3</v>
      </c>
      <c r="K58" s="3">
        <v>3</v>
      </c>
      <c r="L58" s="3">
        <v>3</v>
      </c>
      <c r="M58" s="3">
        <v>3</v>
      </c>
      <c r="N58" s="33">
        <v>3</v>
      </c>
      <c r="O58" s="39">
        <v>2</v>
      </c>
      <c r="P58" s="9">
        <v>2</v>
      </c>
      <c r="Q58" s="9">
        <v>3</v>
      </c>
      <c r="R58" s="9">
        <v>3</v>
      </c>
      <c r="S58" s="40">
        <v>3</v>
      </c>
    </row>
    <row r="59" spans="1:19" ht="25" customHeight="1" x14ac:dyDescent="0.2">
      <c r="A59" s="20" t="s">
        <v>77</v>
      </c>
      <c r="B59" s="24">
        <v>3.56</v>
      </c>
      <c r="C59" s="16">
        <v>72</v>
      </c>
      <c r="D59" s="16">
        <v>63</v>
      </c>
      <c r="E59" s="25">
        <v>211</v>
      </c>
      <c r="F59" s="32">
        <v>40.1</v>
      </c>
      <c r="G59" s="3">
        <v>0</v>
      </c>
      <c r="H59" s="3">
        <v>41.2</v>
      </c>
      <c r="I59" s="33">
        <v>50.1</v>
      </c>
      <c r="J59" s="32">
        <v>3</v>
      </c>
      <c r="K59" s="3">
        <v>2</v>
      </c>
      <c r="L59" s="3">
        <v>2</v>
      </c>
      <c r="M59" s="3">
        <v>3</v>
      </c>
      <c r="N59" s="33">
        <v>3</v>
      </c>
      <c r="O59" s="39">
        <v>3</v>
      </c>
      <c r="P59" s="9">
        <v>3</v>
      </c>
      <c r="Q59" s="9">
        <v>3</v>
      </c>
      <c r="R59" s="9">
        <v>3</v>
      </c>
      <c r="S59" s="40">
        <v>3</v>
      </c>
    </row>
    <row r="60" spans="1:19" ht="25" customHeight="1" x14ac:dyDescent="0.2">
      <c r="A60" s="20" t="s">
        <v>87</v>
      </c>
      <c r="B60" s="24">
        <v>3.72</v>
      </c>
      <c r="C60" s="16">
        <v>49</v>
      </c>
      <c r="D60" s="16">
        <v>53</v>
      </c>
      <c r="E60" s="25">
        <v>159</v>
      </c>
      <c r="F60" s="32">
        <v>45.4</v>
      </c>
      <c r="G60" s="3">
        <v>0.2</v>
      </c>
      <c r="H60" s="3">
        <v>53</v>
      </c>
      <c r="I60" s="33">
        <v>54.6</v>
      </c>
      <c r="J60" s="32">
        <v>3</v>
      </c>
      <c r="K60" s="3">
        <v>2</v>
      </c>
      <c r="L60" s="3">
        <v>2</v>
      </c>
      <c r="M60" s="3">
        <v>3</v>
      </c>
      <c r="N60" s="33">
        <v>2</v>
      </c>
      <c r="O60" s="39">
        <v>2</v>
      </c>
      <c r="P60" s="9">
        <v>1</v>
      </c>
      <c r="Q60" s="9">
        <v>1</v>
      </c>
      <c r="R60" s="9">
        <v>1</v>
      </c>
      <c r="S60" s="40">
        <v>1</v>
      </c>
    </row>
    <row r="61" spans="1:19" ht="25" customHeight="1" x14ac:dyDescent="0.2">
      <c r="A61" s="20" t="s">
        <v>102</v>
      </c>
      <c r="B61" s="24">
        <v>3.3</v>
      </c>
      <c r="C61" s="16">
        <v>69</v>
      </c>
      <c r="D61" s="16">
        <v>58</v>
      </c>
      <c r="E61" s="25">
        <v>207</v>
      </c>
      <c r="F61" s="32">
        <v>47.7</v>
      </c>
      <c r="G61" s="3">
        <v>0.22</v>
      </c>
      <c r="H61" s="3">
        <v>51.7</v>
      </c>
      <c r="I61" s="33">
        <v>63.3</v>
      </c>
      <c r="J61" s="32">
        <v>2</v>
      </c>
      <c r="K61" s="3">
        <v>2</v>
      </c>
      <c r="L61" s="3">
        <v>3</v>
      </c>
      <c r="M61" s="3">
        <v>3</v>
      </c>
      <c r="N61" s="33">
        <v>3</v>
      </c>
      <c r="O61" s="39">
        <v>3</v>
      </c>
      <c r="P61" s="9">
        <v>2</v>
      </c>
      <c r="Q61" s="9">
        <v>2</v>
      </c>
      <c r="R61" s="9">
        <v>2</v>
      </c>
      <c r="S61" s="40">
        <v>2</v>
      </c>
    </row>
    <row r="62" spans="1:19" ht="25" customHeight="1" x14ac:dyDescent="0.2">
      <c r="A62" s="20" t="s">
        <v>75</v>
      </c>
      <c r="B62" s="24">
        <v>3.61</v>
      </c>
      <c r="C62" s="16">
        <v>71</v>
      </c>
      <c r="D62" s="16">
        <v>66</v>
      </c>
      <c r="E62" s="25">
        <v>165</v>
      </c>
      <c r="F62" s="32">
        <v>41</v>
      </c>
      <c r="G62" s="3">
        <v>0</v>
      </c>
      <c r="H62" s="3">
        <v>43</v>
      </c>
      <c r="I62" s="33">
        <v>48.9</v>
      </c>
      <c r="J62" s="32">
        <v>2</v>
      </c>
      <c r="K62" s="3">
        <v>1</v>
      </c>
      <c r="L62" s="3">
        <v>1</v>
      </c>
      <c r="M62" s="3">
        <v>2</v>
      </c>
      <c r="N62" s="33">
        <v>2</v>
      </c>
      <c r="O62" s="39">
        <v>2</v>
      </c>
      <c r="P62" s="9">
        <v>2</v>
      </c>
      <c r="Q62" s="9">
        <v>2</v>
      </c>
      <c r="R62" s="9">
        <v>2</v>
      </c>
      <c r="S62" s="40">
        <v>2</v>
      </c>
    </row>
    <row r="63" spans="1:19" ht="25" customHeight="1" x14ac:dyDescent="0.2">
      <c r="A63" s="20" t="s">
        <v>72</v>
      </c>
      <c r="B63" s="24">
        <v>3.28</v>
      </c>
      <c r="C63" s="16">
        <v>72</v>
      </c>
      <c r="D63" s="16">
        <v>58</v>
      </c>
      <c r="E63" s="25">
        <v>180</v>
      </c>
      <c r="F63" s="32">
        <v>45.1</v>
      </c>
      <c r="G63" s="3">
        <v>0.18</v>
      </c>
      <c r="H63" s="3">
        <v>52</v>
      </c>
      <c r="I63" s="33">
        <v>57.8</v>
      </c>
      <c r="J63" s="32">
        <v>2</v>
      </c>
      <c r="K63" s="3">
        <v>2</v>
      </c>
      <c r="L63" s="3">
        <v>2</v>
      </c>
      <c r="M63" s="3">
        <v>2</v>
      </c>
      <c r="N63" s="33">
        <v>2</v>
      </c>
      <c r="O63" s="39">
        <v>2</v>
      </c>
      <c r="P63" s="9">
        <v>2</v>
      </c>
      <c r="Q63" s="9">
        <v>1</v>
      </c>
      <c r="R63" s="9">
        <v>2</v>
      </c>
      <c r="S63" s="40">
        <v>1</v>
      </c>
    </row>
    <row r="64" spans="1:19" ht="25" customHeight="1" x14ac:dyDescent="0.2">
      <c r="A64" s="20" t="s">
        <v>110</v>
      </c>
      <c r="B64" s="28">
        <v>3.5684499999999999</v>
      </c>
      <c r="C64" s="16">
        <v>62</v>
      </c>
      <c r="D64" s="16">
        <v>54</v>
      </c>
      <c r="E64" s="25">
        <v>220</v>
      </c>
      <c r="F64" s="32">
        <v>44.3</v>
      </c>
      <c r="G64" s="3">
        <v>0.18</v>
      </c>
      <c r="H64" s="3">
        <v>52.7</v>
      </c>
      <c r="I64" s="33">
        <v>66.099999999999994</v>
      </c>
      <c r="J64" s="32">
        <v>2</v>
      </c>
      <c r="K64" s="3">
        <v>1</v>
      </c>
      <c r="L64" s="3">
        <v>1</v>
      </c>
      <c r="M64" s="3">
        <v>1</v>
      </c>
      <c r="N64" s="33">
        <v>2</v>
      </c>
      <c r="O64" s="39">
        <v>2</v>
      </c>
      <c r="P64" s="9">
        <v>2</v>
      </c>
      <c r="Q64" s="9">
        <v>1</v>
      </c>
      <c r="R64" s="9">
        <v>2</v>
      </c>
      <c r="S64" s="40">
        <v>2</v>
      </c>
    </row>
    <row r="65" spans="1:19" ht="25" customHeight="1" x14ac:dyDescent="0.2">
      <c r="A65" s="20" t="s">
        <v>73</v>
      </c>
      <c r="B65" s="24">
        <v>3.56</v>
      </c>
      <c r="C65" s="16">
        <v>79</v>
      </c>
      <c r="D65" s="16">
        <v>66</v>
      </c>
      <c r="E65" s="25">
        <v>199</v>
      </c>
      <c r="F65" s="32">
        <v>0</v>
      </c>
      <c r="G65" s="3">
        <v>0</v>
      </c>
      <c r="H65" s="3">
        <v>0</v>
      </c>
      <c r="I65" s="33">
        <v>0</v>
      </c>
      <c r="J65" s="32">
        <v>1</v>
      </c>
      <c r="K65" s="3">
        <v>1</v>
      </c>
      <c r="L65" s="3">
        <v>2</v>
      </c>
      <c r="M65" s="3">
        <v>1</v>
      </c>
      <c r="N65" s="33">
        <v>1</v>
      </c>
      <c r="O65" s="39">
        <v>1</v>
      </c>
      <c r="P65" s="9">
        <v>1</v>
      </c>
      <c r="Q65" s="9">
        <v>1</v>
      </c>
      <c r="R65" s="9">
        <v>1</v>
      </c>
      <c r="S65" s="40">
        <v>1</v>
      </c>
    </row>
    <row r="66" spans="1:19" ht="25" customHeight="1" x14ac:dyDescent="0.2">
      <c r="A66" s="20" t="s">
        <v>45</v>
      </c>
      <c r="B66" s="24">
        <v>3.4</v>
      </c>
      <c r="C66" s="16">
        <v>81</v>
      </c>
      <c r="D66" s="16">
        <v>63</v>
      </c>
      <c r="E66" s="25">
        <v>251</v>
      </c>
      <c r="F66" s="32">
        <v>50.5</v>
      </c>
      <c r="G66" s="3">
        <v>0.2</v>
      </c>
      <c r="H66" s="3">
        <v>41.6</v>
      </c>
      <c r="I66" s="33">
        <v>50.6</v>
      </c>
      <c r="J66" s="32">
        <v>2</v>
      </c>
      <c r="K66" s="3">
        <v>2</v>
      </c>
      <c r="L66" s="3">
        <v>2</v>
      </c>
      <c r="M66" s="3">
        <v>2</v>
      </c>
      <c r="N66" s="33">
        <v>2</v>
      </c>
      <c r="O66" s="39">
        <v>2</v>
      </c>
      <c r="P66" s="9">
        <v>2</v>
      </c>
      <c r="Q66" s="9">
        <v>1</v>
      </c>
      <c r="R66" s="9">
        <v>2</v>
      </c>
      <c r="S66" s="40">
        <v>2</v>
      </c>
    </row>
    <row r="67" spans="1:19" ht="25" customHeight="1" x14ac:dyDescent="0.2">
      <c r="A67" s="20" t="s">
        <v>79</v>
      </c>
      <c r="B67" s="24">
        <v>3.82</v>
      </c>
      <c r="C67" s="16">
        <v>67</v>
      </c>
      <c r="D67" s="16">
        <v>52</v>
      </c>
      <c r="E67" s="25">
        <v>166</v>
      </c>
      <c r="F67" s="32">
        <v>49.6</v>
      </c>
      <c r="G67" s="3">
        <v>0.18</v>
      </c>
      <c r="H67" s="3">
        <v>50</v>
      </c>
      <c r="I67" s="33">
        <v>62.9</v>
      </c>
      <c r="J67" s="32">
        <v>3</v>
      </c>
      <c r="K67" s="3">
        <v>2</v>
      </c>
      <c r="L67" s="3">
        <v>2</v>
      </c>
      <c r="M67" s="3">
        <v>3</v>
      </c>
      <c r="N67" s="33">
        <v>3</v>
      </c>
      <c r="O67" s="39">
        <v>2</v>
      </c>
      <c r="P67" s="9">
        <v>2</v>
      </c>
      <c r="Q67" s="9">
        <v>2</v>
      </c>
      <c r="R67" s="9">
        <v>1</v>
      </c>
      <c r="S67" s="40">
        <v>2</v>
      </c>
    </row>
    <row r="68" spans="1:19" ht="25" customHeight="1" x14ac:dyDescent="0.2">
      <c r="A68" s="20" t="s">
        <v>88</v>
      </c>
      <c r="B68" s="24">
        <v>3.63</v>
      </c>
      <c r="C68" s="16">
        <v>63</v>
      </c>
      <c r="D68" s="16">
        <v>55</v>
      </c>
      <c r="E68" s="25">
        <v>202</v>
      </c>
      <c r="F68" s="32">
        <v>49.2</v>
      </c>
      <c r="G68" s="3">
        <v>0.19</v>
      </c>
      <c r="H68" s="3">
        <v>45.3</v>
      </c>
      <c r="I68" s="33">
        <v>55.8</v>
      </c>
      <c r="J68" s="32">
        <v>2</v>
      </c>
      <c r="K68" s="3">
        <v>1</v>
      </c>
      <c r="L68" s="3">
        <v>2</v>
      </c>
      <c r="M68" s="3">
        <v>2</v>
      </c>
      <c r="N68" s="33">
        <v>2</v>
      </c>
      <c r="O68" s="39">
        <v>1</v>
      </c>
      <c r="P68" s="9">
        <v>2</v>
      </c>
      <c r="Q68" s="9">
        <v>2</v>
      </c>
      <c r="R68" s="9">
        <v>1</v>
      </c>
      <c r="S68" s="40">
        <v>1</v>
      </c>
    </row>
    <row r="69" spans="1:19" ht="25" customHeight="1" x14ac:dyDescent="0.2">
      <c r="A69" s="20" t="s">
        <v>95</v>
      </c>
      <c r="B69" s="24">
        <v>3.28</v>
      </c>
      <c r="C69" s="16">
        <v>65</v>
      </c>
      <c r="D69" s="16">
        <v>60</v>
      </c>
      <c r="E69" s="25">
        <v>236</v>
      </c>
      <c r="F69" s="32">
        <v>55.5</v>
      </c>
      <c r="G69" s="3">
        <v>0.19</v>
      </c>
      <c r="H69" s="3">
        <v>39.299999999999997</v>
      </c>
      <c r="I69" s="33">
        <v>56.1</v>
      </c>
      <c r="J69" s="32">
        <v>3</v>
      </c>
      <c r="K69" s="3">
        <v>2</v>
      </c>
      <c r="L69" s="3">
        <v>1</v>
      </c>
      <c r="M69" s="3">
        <v>2</v>
      </c>
      <c r="N69" s="33">
        <v>2</v>
      </c>
      <c r="O69" s="39">
        <v>2</v>
      </c>
      <c r="P69" s="9">
        <v>2</v>
      </c>
      <c r="Q69" s="9">
        <v>1</v>
      </c>
      <c r="R69" s="9">
        <v>1</v>
      </c>
      <c r="S69" s="40">
        <v>2</v>
      </c>
    </row>
    <row r="70" spans="1:19" ht="25" customHeight="1" x14ac:dyDescent="0.2">
      <c r="A70" s="20" t="s">
        <v>105</v>
      </c>
      <c r="B70" s="24">
        <v>3.35</v>
      </c>
      <c r="C70" s="16">
        <v>70</v>
      </c>
      <c r="D70" s="16">
        <v>65</v>
      </c>
      <c r="E70" s="25">
        <v>198</v>
      </c>
      <c r="F70" s="32">
        <v>46.5</v>
      </c>
      <c r="G70" s="3">
        <v>0.17</v>
      </c>
      <c r="H70" s="3">
        <v>50.7</v>
      </c>
      <c r="I70" s="33">
        <v>64.7</v>
      </c>
      <c r="J70" s="32">
        <v>1</v>
      </c>
      <c r="K70" s="3">
        <v>1</v>
      </c>
      <c r="L70" s="3">
        <v>1</v>
      </c>
      <c r="M70" s="3">
        <v>1</v>
      </c>
      <c r="N70" s="33">
        <v>1</v>
      </c>
      <c r="O70" s="39">
        <v>2</v>
      </c>
      <c r="P70" s="9">
        <v>2</v>
      </c>
      <c r="Q70" s="9">
        <v>2</v>
      </c>
      <c r="R70" s="9">
        <v>2</v>
      </c>
      <c r="S70" s="40">
        <v>2</v>
      </c>
    </row>
    <row r="71" spans="1:19" ht="25" customHeight="1" x14ac:dyDescent="0.2">
      <c r="A71" s="20" t="s">
        <v>80</v>
      </c>
      <c r="B71" s="24">
        <v>3.4</v>
      </c>
      <c r="C71" s="16">
        <v>74</v>
      </c>
      <c r="D71" s="16">
        <v>57</v>
      </c>
      <c r="E71" s="25">
        <v>244</v>
      </c>
      <c r="F71" s="32">
        <v>41.5</v>
      </c>
      <c r="G71" s="3">
        <v>0.17</v>
      </c>
      <c r="H71" s="3">
        <v>44.9</v>
      </c>
      <c r="I71" s="33">
        <v>51.5</v>
      </c>
      <c r="J71" s="32">
        <v>2</v>
      </c>
      <c r="K71" s="3">
        <v>1</v>
      </c>
      <c r="L71" s="3">
        <v>2</v>
      </c>
      <c r="M71" s="3">
        <v>1</v>
      </c>
      <c r="N71" s="33">
        <v>1</v>
      </c>
      <c r="O71" s="39">
        <v>2</v>
      </c>
      <c r="P71" s="9">
        <v>2</v>
      </c>
      <c r="Q71" s="9">
        <v>1</v>
      </c>
      <c r="R71" s="9">
        <v>2</v>
      </c>
      <c r="S71" s="40">
        <v>2</v>
      </c>
    </row>
    <row r="72" spans="1:19" ht="25" customHeight="1" x14ac:dyDescent="0.2">
      <c r="A72" s="20" t="s">
        <v>49</v>
      </c>
      <c r="B72" s="24">
        <v>3.61</v>
      </c>
      <c r="C72" s="16">
        <v>68</v>
      </c>
      <c r="D72" s="16">
        <v>57</v>
      </c>
      <c r="E72" s="25">
        <v>146</v>
      </c>
      <c r="F72" s="32">
        <v>42.7</v>
      </c>
      <c r="G72" s="3">
        <v>0.24</v>
      </c>
      <c r="H72" s="3">
        <v>37.200000000000003</v>
      </c>
      <c r="I72" s="33">
        <v>44.8</v>
      </c>
      <c r="J72" s="32">
        <v>2</v>
      </c>
      <c r="K72" s="3">
        <v>2</v>
      </c>
      <c r="L72" s="3">
        <v>2</v>
      </c>
      <c r="M72" s="3">
        <v>1</v>
      </c>
      <c r="N72" s="33">
        <v>1</v>
      </c>
      <c r="O72" s="39">
        <v>1</v>
      </c>
      <c r="P72" s="9">
        <v>1</v>
      </c>
      <c r="Q72" s="9">
        <v>1</v>
      </c>
      <c r="R72" s="9">
        <v>1</v>
      </c>
      <c r="S72" s="40">
        <v>1</v>
      </c>
    </row>
    <row r="73" spans="1:19" ht="25" customHeight="1" x14ac:dyDescent="0.2">
      <c r="A73" s="20" t="s">
        <v>106</v>
      </c>
      <c r="B73" s="24">
        <v>3.54</v>
      </c>
      <c r="C73" s="16">
        <v>69</v>
      </c>
      <c r="D73" s="16">
        <v>61</v>
      </c>
      <c r="E73" s="25">
        <v>215</v>
      </c>
      <c r="F73" s="32">
        <v>46.6</v>
      </c>
      <c r="G73" s="3">
        <v>0.2</v>
      </c>
      <c r="H73" s="3">
        <v>46</v>
      </c>
      <c r="I73" s="33">
        <v>60.9</v>
      </c>
      <c r="J73" s="32">
        <v>1</v>
      </c>
      <c r="K73" s="3">
        <v>2</v>
      </c>
      <c r="L73" s="3">
        <v>1</v>
      </c>
      <c r="M73" s="3">
        <v>2</v>
      </c>
      <c r="N73" s="33">
        <v>2</v>
      </c>
      <c r="O73" s="39">
        <v>3</v>
      </c>
      <c r="P73" s="9">
        <v>2</v>
      </c>
      <c r="Q73" s="9">
        <v>2</v>
      </c>
      <c r="R73" s="9">
        <v>2</v>
      </c>
      <c r="S73" s="40">
        <v>2</v>
      </c>
    </row>
    <row r="74" spans="1:19" ht="25" customHeight="1" x14ac:dyDescent="0.2">
      <c r="A74" s="20" t="s">
        <v>90</v>
      </c>
      <c r="B74" s="24">
        <v>3.93</v>
      </c>
      <c r="C74" s="16">
        <v>70</v>
      </c>
      <c r="D74" s="16">
        <v>55</v>
      </c>
      <c r="E74" s="25">
        <v>193</v>
      </c>
      <c r="F74" s="32">
        <v>61.3</v>
      </c>
      <c r="G74" s="3">
        <v>0.17</v>
      </c>
      <c r="H74" s="3">
        <v>65.400000000000006</v>
      </c>
      <c r="I74" s="33">
        <v>75.099999999999994</v>
      </c>
      <c r="J74" s="32">
        <v>3</v>
      </c>
      <c r="K74" s="3">
        <v>3</v>
      </c>
      <c r="L74" s="3">
        <v>3</v>
      </c>
      <c r="M74" s="3">
        <v>3</v>
      </c>
      <c r="N74" s="33">
        <v>3</v>
      </c>
      <c r="O74" s="39">
        <v>3</v>
      </c>
      <c r="P74" s="9">
        <v>3</v>
      </c>
      <c r="Q74" s="9">
        <v>3</v>
      </c>
      <c r="R74" s="9">
        <v>3</v>
      </c>
      <c r="S74" s="40">
        <v>3</v>
      </c>
    </row>
    <row r="75" spans="1:19" ht="25" customHeight="1" x14ac:dyDescent="0.2">
      <c r="A75" s="20" t="s">
        <v>103</v>
      </c>
      <c r="B75" s="24">
        <v>3.34</v>
      </c>
      <c r="C75" s="16">
        <v>72</v>
      </c>
      <c r="D75" s="16">
        <v>67</v>
      </c>
      <c r="E75" s="25">
        <v>237</v>
      </c>
      <c r="F75" s="32">
        <v>48.9</v>
      </c>
      <c r="G75" s="3">
        <v>0.2</v>
      </c>
      <c r="H75" s="3">
        <v>54.8</v>
      </c>
      <c r="I75" s="33">
        <v>62.1</v>
      </c>
      <c r="J75" s="32">
        <v>1</v>
      </c>
      <c r="K75" s="3">
        <v>2</v>
      </c>
      <c r="L75" s="3">
        <v>2</v>
      </c>
      <c r="M75" s="3">
        <v>1</v>
      </c>
      <c r="N75" s="33">
        <v>2</v>
      </c>
      <c r="O75" s="39">
        <v>1</v>
      </c>
      <c r="P75" s="9">
        <v>1</v>
      </c>
      <c r="Q75" s="9">
        <v>1</v>
      </c>
      <c r="R75" s="9">
        <v>1</v>
      </c>
      <c r="S75" s="40">
        <v>1</v>
      </c>
    </row>
    <row r="76" spans="1:19" ht="25" customHeight="1" x14ac:dyDescent="0.2">
      <c r="A76" s="20" t="s">
        <v>112</v>
      </c>
      <c r="B76" s="28">
        <v>3.1615800000000003</v>
      </c>
      <c r="C76" s="16">
        <v>63</v>
      </c>
      <c r="D76" s="16">
        <v>71</v>
      </c>
      <c r="E76" s="25">
        <v>193</v>
      </c>
      <c r="F76" s="32">
        <v>48.1</v>
      </c>
      <c r="G76" s="3">
        <v>0.18</v>
      </c>
      <c r="H76" s="3">
        <v>50.8</v>
      </c>
      <c r="I76" s="33">
        <v>54.9</v>
      </c>
      <c r="J76" s="32">
        <v>2</v>
      </c>
      <c r="K76" s="3">
        <v>1</v>
      </c>
      <c r="L76" s="3">
        <v>2</v>
      </c>
      <c r="M76" s="3">
        <v>1</v>
      </c>
      <c r="N76" s="33">
        <v>2</v>
      </c>
      <c r="O76" s="39">
        <v>1</v>
      </c>
      <c r="P76" s="9">
        <v>1</v>
      </c>
      <c r="Q76" s="9">
        <v>1</v>
      </c>
      <c r="R76" s="9">
        <v>1</v>
      </c>
      <c r="S76" s="40">
        <v>1</v>
      </c>
    </row>
    <row r="77" spans="1:19" ht="25" customHeight="1" x14ac:dyDescent="0.2">
      <c r="A77" s="20" t="s">
        <v>61</v>
      </c>
      <c r="B77" s="24">
        <v>4.05</v>
      </c>
      <c r="C77" s="16">
        <v>64</v>
      </c>
      <c r="D77" s="16">
        <v>41</v>
      </c>
      <c r="E77" s="25">
        <v>206</v>
      </c>
      <c r="F77" s="32">
        <v>38.1</v>
      </c>
      <c r="G77" s="3">
        <v>0.22</v>
      </c>
      <c r="H77" s="3">
        <v>34.9</v>
      </c>
      <c r="I77" s="33">
        <v>37.4</v>
      </c>
      <c r="J77" s="32">
        <v>1</v>
      </c>
      <c r="K77" s="3">
        <v>2</v>
      </c>
      <c r="L77" s="3">
        <v>1</v>
      </c>
      <c r="M77" s="3">
        <v>1</v>
      </c>
      <c r="N77" s="33">
        <v>1</v>
      </c>
      <c r="O77" s="39">
        <v>2</v>
      </c>
      <c r="P77" s="9">
        <v>1</v>
      </c>
      <c r="Q77" s="9">
        <v>2</v>
      </c>
      <c r="R77" s="9">
        <v>1</v>
      </c>
      <c r="S77" s="40">
        <v>1</v>
      </c>
    </row>
    <row r="78" spans="1:19" ht="25" customHeight="1" x14ac:dyDescent="0.2">
      <c r="A78" s="20" t="s">
        <v>48</v>
      </c>
      <c r="B78" s="24">
        <v>3.7</v>
      </c>
      <c r="C78" s="16">
        <v>56</v>
      </c>
      <c r="D78" s="16">
        <v>42</v>
      </c>
      <c r="E78" s="25">
        <v>173</v>
      </c>
      <c r="F78" s="32">
        <v>0</v>
      </c>
      <c r="G78" s="3">
        <v>0</v>
      </c>
      <c r="H78" s="3">
        <v>27.4</v>
      </c>
      <c r="I78" s="33">
        <v>34.4</v>
      </c>
      <c r="J78" s="32">
        <v>1</v>
      </c>
      <c r="K78" s="3">
        <v>1</v>
      </c>
      <c r="L78" s="3">
        <v>1</v>
      </c>
      <c r="M78" s="3">
        <v>1</v>
      </c>
      <c r="N78" s="33">
        <v>1</v>
      </c>
      <c r="O78" s="39">
        <v>1</v>
      </c>
      <c r="P78" s="9">
        <v>1</v>
      </c>
      <c r="Q78" s="9">
        <v>2</v>
      </c>
      <c r="R78" s="9">
        <v>1</v>
      </c>
      <c r="S78" s="40">
        <v>1</v>
      </c>
    </row>
    <row r="79" spans="1:19" ht="25" customHeight="1" thickBot="1" x14ac:dyDescent="0.25">
      <c r="A79" s="20" t="s">
        <v>104</v>
      </c>
      <c r="B79" s="29">
        <v>3.22</v>
      </c>
      <c r="C79" s="30">
        <v>86</v>
      </c>
      <c r="D79" s="30">
        <v>73</v>
      </c>
      <c r="E79" s="31">
        <v>248</v>
      </c>
      <c r="F79" s="36">
        <v>49.3</v>
      </c>
      <c r="G79" s="37">
        <v>0.18</v>
      </c>
      <c r="H79" s="37">
        <v>46.5</v>
      </c>
      <c r="I79" s="38">
        <v>60.6</v>
      </c>
      <c r="J79" s="36">
        <v>2</v>
      </c>
      <c r="K79" s="37">
        <v>2</v>
      </c>
      <c r="L79" s="37">
        <v>2</v>
      </c>
      <c r="M79" s="37">
        <v>2</v>
      </c>
      <c r="N79" s="38">
        <v>1</v>
      </c>
      <c r="O79" s="43">
        <v>2</v>
      </c>
      <c r="P79" s="44">
        <v>2</v>
      </c>
      <c r="Q79" s="44">
        <v>2</v>
      </c>
      <c r="R79" s="44">
        <v>2</v>
      </c>
      <c r="S79" s="45">
        <v>2</v>
      </c>
    </row>
    <row r="80" spans="1:19" ht="2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</sheetData>
  <sheetProtection algorithmName="SHA-512" hashValue="3i7oIXtc+95zdkaL8KC33nStO3BZzm/P+Ojg8nZV6E5ldUJxwxFXgulU+mEUPjjGPF7RDlrSekboCB6h8GuP8Q==" saltValue="AVNqv+NQMjHchhPGYQAhZg==" spinCount="100000" sheet="1" objects="1" scenarios="1"/>
  <mergeCells count="4">
    <mergeCell ref="B1:E1"/>
    <mergeCell ref="F1:I1"/>
    <mergeCell ref="J1:N1"/>
    <mergeCell ref="O1:S1"/>
  </mergeCells>
  <pageMargins left="0.7" right="0.7" top="0.75" bottom="0.75" header="0.3" footer="0.3"/>
  <pageSetup scale="21" orientation="landscape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46A0-81EA-CC4F-B24D-60628ADCEF7B}">
  <sheetPr>
    <pageSetUpPr fitToPage="1"/>
  </sheetPr>
  <dimension ref="A1:L75"/>
  <sheetViews>
    <sheetView topLeftCell="A55" zoomScale="119" zoomScaleNormal="119" workbookViewId="0">
      <selection activeCell="G4" sqref="G4"/>
    </sheetView>
  </sheetViews>
  <sheetFormatPr baseColWidth="10" defaultColWidth="12.83203125" defaultRowHeight="25" customHeight="1" x14ac:dyDescent="0.2"/>
  <cols>
    <col min="1" max="1" width="23.83203125" style="11" bestFit="1" customWidth="1"/>
    <col min="2" max="11" width="12.83203125" style="11" customWidth="1"/>
    <col min="12" max="16384" width="12.83203125" style="11"/>
  </cols>
  <sheetData>
    <row r="1" spans="1:12" ht="25" customHeight="1" thickBot="1" x14ac:dyDescent="0.25">
      <c r="A1" s="12"/>
      <c r="B1" s="10"/>
      <c r="C1" s="10"/>
      <c r="D1" s="10"/>
      <c r="E1" s="10"/>
      <c r="F1" s="10"/>
      <c r="G1" s="10"/>
      <c r="H1" s="10"/>
      <c r="I1" s="10"/>
      <c r="J1" s="10"/>
    </row>
    <row r="2" spans="1:12" s="13" customFormat="1" ht="43" customHeight="1" x14ac:dyDescent="0.2">
      <c r="A2" s="13" t="s">
        <v>115</v>
      </c>
      <c r="B2" s="21" t="s">
        <v>16</v>
      </c>
      <c r="C2" s="22" t="s">
        <v>17</v>
      </c>
      <c r="D2" s="22" t="s">
        <v>18</v>
      </c>
      <c r="E2" s="22" t="s">
        <v>19</v>
      </c>
      <c r="F2" s="22" t="s">
        <v>20</v>
      </c>
      <c r="G2" s="23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55" t="s">
        <v>133</v>
      </c>
    </row>
    <row r="3" spans="1:12" ht="25" customHeight="1" x14ac:dyDescent="0.2">
      <c r="A3" s="56" t="s">
        <v>69</v>
      </c>
      <c r="B3" s="59">
        <v>39</v>
      </c>
      <c r="C3" s="60">
        <v>44</v>
      </c>
      <c r="D3" s="60" t="s">
        <v>26</v>
      </c>
      <c r="E3" s="60" t="s">
        <v>34</v>
      </c>
      <c r="F3" s="60"/>
      <c r="G3" s="61"/>
      <c r="H3" s="47">
        <v>1</v>
      </c>
      <c r="I3" s="48">
        <v>1</v>
      </c>
      <c r="J3" s="48">
        <v>2</v>
      </c>
      <c r="K3" s="48">
        <v>1</v>
      </c>
      <c r="L3" s="52">
        <v>1</v>
      </c>
    </row>
    <row r="4" spans="1:12" ht="25" customHeight="1" x14ac:dyDescent="0.2">
      <c r="A4" s="56" t="s">
        <v>83</v>
      </c>
      <c r="B4" s="62">
        <v>50</v>
      </c>
      <c r="C4" s="63">
        <v>51</v>
      </c>
      <c r="D4" s="63" t="s">
        <v>26</v>
      </c>
      <c r="E4" s="63"/>
      <c r="F4" s="63"/>
      <c r="G4" s="64"/>
      <c r="H4" s="49">
        <v>2</v>
      </c>
      <c r="I4" s="50">
        <v>1</v>
      </c>
      <c r="J4" s="50">
        <v>2</v>
      </c>
      <c r="K4" s="50">
        <v>2</v>
      </c>
      <c r="L4" s="51">
        <v>2</v>
      </c>
    </row>
    <row r="5" spans="1:12" s="14" customFormat="1" ht="25" customHeight="1" x14ac:dyDescent="0.2">
      <c r="A5" s="57" t="s">
        <v>76</v>
      </c>
      <c r="B5" s="59">
        <v>43</v>
      </c>
      <c r="C5" s="60">
        <v>45</v>
      </c>
      <c r="D5" s="60" t="s">
        <v>26</v>
      </c>
      <c r="E5" s="60"/>
      <c r="F5" s="60"/>
      <c r="G5" s="61"/>
      <c r="H5" s="47">
        <v>2</v>
      </c>
      <c r="I5" s="48">
        <v>2</v>
      </c>
      <c r="J5" s="48">
        <v>1</v>
      </c>
      <c r="K5" s="48">
        <v>2</v>
      </c>
      <c r="L5" s="52">
        <v>3</v>
      </c>
    </row>
    <row r="6" spans="1:12" s="14" customFormat="1" ht="25" customHeight="1" x14ac:dyDescent="0.2">
      <c r="A6" s="57" t="s">
        <v>94</v>
      </c>
      <c r="B6" s="59">
        <v>50</v>
      </c>
      <c r="C6" s="60">
        <v>51</v>
      </c>
      <c r="D6" s="60" t="s">
        <v>26</v>
      </c>
      <c r="E6" s="60" t="s">
        <v>28</v>
      </c>
      <c r="F6" s="60"/>
      <c r="G6" s="61"/>
      <c r="H6" s="47">
        <v>2</v>
      </c>
      <c r="I6" s="48">
        <v>1</v>
      </c>
      <c r="J6" s="48">
        <v>2</v>
      </c>
      <c r="K6" s="48">
        <v>1</v>
      </c>
      <c r="L6" s="52">
        <v>1</v>
      </c>
    </row>
    <row r="7" spans="1:12" s="14" customFormat="1" ht="25" customHeight="1" x14ac:dyDescent="0.2">
      <c r="A7" s="57" t="s">
        <v>39</v>
      </c>
      <c r="B7" s="59">
        <v>62</v>
      </c>
      <c r="C7" s="60">
        <v>64</v>
      </c>
      <c r="D7" s="60" t="s">
        <v>26</v>
      </c>
      <c r="E7" s="60" t="s">
        <v>29</v>
      </c>
      <c r="F7" s="60" t="s">
        <v>30</v>
      </c>
      <c r="G7" s="61"/>
      <c r="H7" s="47">
        <v>3</v>
      </c>
      <c r="I7" s="48">
        <v>3</v>
      </c>
      <c r="J7" s="48">
        <v>3</v>
      </c>
      <c r="K7" s="48">
        <v>3</v>
      </c>
      <c r="L7" s="52">
        <v>2</v>
      </c>
    </row>
    <row r="8" spans="1:12" s="14" customFormat="1" ht="25" customHeight="1" x14ac:dyDescent="0.2">
      <c r="A8" s="57" t="s">
        <v>47</v>
      </c>
      <c r="B8" s="59">
        <v>53</v>
      </c>
      <c r="C8" s="60">
        <v>55</v>
      </c>
      <c r="D8" s="60" t="s">
        <v>26</v>
      </c>
      <c r="E8" s="60"/>
      <c r="F8" s="60" t="s">
        <v>28</v>
      </c>
      <c r="G8" s="61"/>
      <c r="H8" s="47">
        <v>2</v>
      </c>
      <c r="I8" s="48">
        <v>2</v>
      </c>
      <c r="J8" s="48">
        <v>2</v>
      </c>
      <c r="K8" s="48">
        <v>1</v>
      </c>
      <c r="L8" s="52">
        <v>1</v>
      </c>
    </row>
    <row r="9" spans="1:12" s="14" customFormat="1" ht="25" customHeight="1" x14ac:dyDescent="0.2">
      <c r="A9" s="57" t="s">
        <v>78</v>
      </c>
      <c r="B9" s="59">
        <v>53</v>
      </c>
      <c r="C9" s="60">
        <v>55</v>
      </c>
      <c r="D9" s="60" t="s">
        <v>26</v>
      </c>
      <c r="E9" s="60" t="s">
        <v>31</v>
      </c>
      <c r="F9" s="60"/>
      <c r="G9" s="61"/>
      <c r="H9" s="47">
        <v>2</v>
      </c>
      <c r="I9" s="48">
        <v>2</v>
      </c>
      <c r="J9" s="48">
        <v>2</v>
      </c>
      <c r="K9" s="48">
        <v>2</v>
      </c>
      <c r="L9" s="52">
        <v>2</v>
      </c>
    </row>
    <row r="10" spans="1:12" s="14" customFormat="1" ht="25" customHeight="1" x14ac:dyDescent="0.2">
      <c r="A10" s="57" t="s">
        <v>100</v>
      </c>
      <c r="B10" s="59">
        <v>56</v>
      </c>
      <c r="C10" s="60">
        <v>58</v>
      </c>
      <c r="D10" s="60" t="s">
        <v>26</v>
      </c>
      <c r="E10" s="60"/>
      <c r="F10" s="60"/>
      <c r="G10" s="61"/>
      <c r="H10" s="47">
        <v>2</v>
      </c>
      <c r="I10" s="48">
        <v>2</v>
      </c>
      <c r="J10" s="48">
        <v>1</v>
      </c>
      <c r="K10" s="48">
        <v>2</v>
      </c>
      <c r="L10" s="52">
        <v>2</v>
      </c>
    </row>
    <row r="11" spans="1:12" s="14" customFormat="1" ht="25" customHeight="1" x14ac:dyDescent="0.2">
      <c r="A11" s="57" t="s">
        <v>70</v>
      </c>
      <c r="B11" s="59">
        <v>48</v>
      </c>
      <c r="C11" s="60">
        <v>50</v>
      </c>
      <c r="D11" s="60" t="s">
        <v>26</v>
      </c>
      <c r="E11" s="60"/>
      <c r="F11" s="60"/>
      <c r="G11" s="61"/>
      <c r="H11" s="47">
        <v>3</v>
      </c>
      <c r="I11" s="48">
        <v>2</v>
      </c>
      <c r="J11" s="48">
        <v>3</v>
      </c>
      <c r="K11" s="48">
        <v>2</v>
      </c>
      <c r="L11" s="52">
        <v>2</v>
      </c>
    </row>
    <row r="12" spans="1:12" s="14" customFormat="1" ht="25" customHeight="1" x14ac:dyDescent="0.2">
      <c r="A12" s="57" t="s">
        <v>98</v>
      </c>
      <c r="B12" s="59">
        <v>50</v>
      </c>
      <c r="C12" s="60">
        <v>53</v>
      </c>
      <c r="D12" s="60" t="s">
        <v>26</v>
      </c>
      <c r="E12" s="60"/>
      <c r="F12" s="60"/>
      <c r="G12" s="61"/>
      <c r="H12" s="47">
        <v>2</v>
      </c>
      <c r="I12" s="48">
        <v>1</v>
      </c>
      <c r="J12" s="48">
        <v>1</v>
      </c>
      <c r="K12" s="48">
        <v>2</v>
      </c>
      <c r="L12" s="52">
        <v>1</v>
      </c>
    </row>
    <row r="13" spans="1:12" ht="25" customHeight="1" x14ac:dyDescent="0.2">
      <c r="A13" s="57" t="s">
        <v>44</v>
      </c>
      <c r="B13" s="59">
        <v>52</v>
      </c>
      <c r="C13" s="60">
        <v>53</v>
      </c>
      <c r="D13" s="60" t="s">
        <v>26</v>
      </c>
      <c r="E13" s="60" t="s">
        <v>29</v>
      </c>
      <c r="F13" s="60" t="s">
        <v>28</v>
      </c>
      <c r="G13" s="61"/>
      <c r="H13" s="47">
        <v>3</v>
      </c>
      <c r="I13" s="48">
        <v>3</v>
      </c>
      <c r="J13" s="48">
        <v>3</v>
      </c>
      <c r="K13" s="48">
        <v>3</v>
      </c>
      <c r="L13" s="52">
        <v>2</v>
      </c>
    </row>
    <row r="14" spans="1:12" ht="25" customHeight="1" x14ac:dyDescent="0.2">
      <c r="A14" s="57" t="s">
        <v>40</v>
      </c>
      <c r="B14" s="59">
        <v>33</v>
      </c>
      <c r="C14" s="60">
        <v>34</v>
      </c>
      <c r="D14" s="60" t="s">
        <v>26</v>
      </c>
      <c r="E14" s="60"/>
      <c r="F14" s="60"/>
      <c r="G14" s="61"/>
      <c r="H14" s="47">
        <v>1</v>
      </c>
      <c r="I14" s="48">
        <v>1</v>
      </c>
      <c r="J14" s="48">
        <v>1</v>
      </c>
      <c r="K14" s="48">
        <v>1</v>
      </c>
      <c r="L14" s="52">
        <v>1</v>
      </c>
    </row>
    <row r="15" spans="1:12" ht="25" customHeight="1" x14ac:dyDescent="0.2">
      <c r="A15" s="57" t="s">
        <v>97</v>
      </c>
      <c r="B15" s="59">
        <v>51</v>
      </c>
      <c r="C15" s="60">
        <v>54</v>
      </c>
      <c r="D15" s="60" t="s">
        <v>26</v>
      </c>
      <c r="E15" s="60" t="s">
        <v>31</v>
      </c>
      <c r="F15" s="60"/>
      <c r="G15" s="61"/>
      <c r="H15" s="47">
        <v>2</v>
      </c>
      <c r="I15" s="48">
        <v>2</v>
      </c>
      <c r="J15" s="48">
        <v>1</v>
      </c>
      <c r="K15" s="48">
        <v>1</v>
      </c>
      <c r="L15" s="52">
        <v>1</v>
      </c>
    </row>
    <row r="16" spans="1:12" ht="25" customHeight="1" x14ac:dyDescent="0.2">
      <c r="A16" s="57" t="s">
        <v>86</v>
      </c>
      <c r="B16" s="59">
        <v>60</v>
      </c>
      <c r="C16" s="60">
        <v>60</v>
      </c>
      <c r="D16" s="60" t="s">
        <v>26</v>
      </c>
      <c r="E16" s="60" t="s">
        <v>34</v>
      </c>
      <c r="F16" s="60" t="s">
        <v>31</v>
      </c>
      <c r="G16" s="61"/>
      <c r="H16" s="47">
        <v>3</v>
      </c>
      <c r="I16" s="48">
        <v>3</v>
      </c>
      <c r="J16" s="48">
        <v>3</v>
      </c>
      <c r="K16" s="48">
        <v>2</v>
      </c>
      <c r="L16" s="52">
        <v>2</v>
      </c>
    </row>
    <row r="17" spans="1:12" ht="25" customHeight="1" x14ac:dyDescent="0.2">
      <c r="A17" s="57" t="s">
        <v>59</v>
      </c>
      <c r="B17" s="59">
        <v>47</v>
      </c>
      <c r="C17" s="60">
        <v>49</v>
      </c>
      <c r="D17" s="60" t="s">
        <v>26</v>
      </c>
      <c r="E17" s="60"/>
      <c r="F17" s="60"/>
      <c r="G17" s="61"/>
      <c r="H17" s="47">
        <v>2</v>
      </c>
      <c r="I17" s="48">
        <v>2</v>
      </c>
      <c r="J17" s="48">
        <v>2</v>
      </c>
      <c r="K17" s="48">
        <v>2</v>
      </c>
      <c r="L17" s="52">
        <v>2</v>
      </c>
    </row>
    <row r="18" spans="1:12" ht="25" customHeight="1" x14ac:dyDescent="0.2">
      <c r="A18" s="57" t="s">
        <v>66</v>
      </c>
      <c r="B18" s="59">
        <v>57</v>
      </c>
      <c r="C18" s="60">
        <v>58</v>
      </c>
      <c r="D18" s="60" t="s">
        <v>26</v>
      </c>
      <c r="E18" s="60" t="s">
        <v>29</v>
      </c>
      <c r="F18" s="60"/>
      <c r="G18" s="61"/>
      <c r="H18" s="47">
        <v>2</v>
      </c>
      <c r="I18" s="48">
        <v>2</v>
      </c>
      <c r="J18" s="48">
        <v>2</v>
      </c>
      <c r="K18" s="48">
        <v>2</v>
      </c>
      <c r="L18" s="52">
        <v>2</v>
      </c>
    </row>
    <row r="19" spans="1:12" ht="25" customHeight="1" x14ac:dyDescent="0.2">
      <c r="A19" s="57" t="s">
        <v>63</v>
      </c>
      <c r="B19" s="59">
        <v>60</v>
      </c>
      <c r="C19" s="60">
        <v>63</v>
      </c>
      <c r="D19" s="60" t="s">
        <v>32</v>
      </c>
      <c r="E19" s="60"/>
      <c r="F19" s="60" t="s">
        <v>28</v>
      </c>
      <c r="G19" s="61" t="s">
        <v>33</v>
      </c>
      <c r="H19" s="47">
        <v>3</v>
      </c>
      <c r="I19" s="48">
        <v>2</v>
      </c>
      <c r="J19" s="48">
        <v>2</v>
      </c>
      <c r="K19" s="48">
        <v>2</v>
      </c>
      <c r="L19" s="52">
        <v>2</v>
      </c>
    </row>
    <row r="20" spans="1:12" ht="25" customHeight="1" x14ac:dyDescent="0.2">
      <c r="A20" s="57" t="s">
        <v>60</v>
      </c>
      <c r="B20" s="59">
        <v>51</v>
      </c>
      <c r="C20" s="60">
        <v>52</v>
      </c>
      <c r="D20" s="60" t="s">
        <v>26</v>
      </c>
      <c r="E20" s="60" t="s">
        <v>27</v>
      </c>
      <c r="F20" s="60" t="s">
        <v>28</v>
      </c>
      <c r="G20" s="61" t="s">
        <v>31</v>
      </c>
      <c r="H20" s="47">
        <v>2</v>
      </c>
      <c r="I20" s="48">
        <v>2</v>
      </c>
      <c r="J20" s="48">
        <v>2</v>
      </c>
      <c r="K20" s="48">
        <v>3</v>
      </c>
      <c r="L20" s="52">
        <v>2</v>
      </c>
    </row>
    <row r="21" spans="1:12" ht="25" customHeight="1" x14ac:dyDescent="0.2">
      <c r="A21" s="57" t="s">
        <v>99</v>
      </c>
      <c r="B21" s="59">
        <v>47</v>
      </c>
      <c r="C21" s="60">
        <v>50</v>
      </c>
      <c r="D21" s="60" t="s">
        <v>26</v>
      </c>
      <c r="E21" s="60"/>
      <c r="F21" s="60"/>
      <c r="G21" s="61"/>
      <c r="H21" s="47">
        <v>1</v>
      </c>
      <c r="I21" s="48">
        <v>1</v>
      </c>
      <c r="J21" s="48">
        <v>2</v>
      </c>
      <c r="K21" s="48">
        <v>1</v>
      </c>
      <c r="L21" s="52">
        <v>1</v>
      </c>
    </row>
    <row r="22" spans="1:12" ht="25" customHeight="1" x14ac:dyDescent="0.2">
      <c r="A22" s="57" t="s">
        <v>71</v>
      </c>
      <c r="B22" s="59">
        <v>45</v>
      </c>
      <c r="C22" s="60">
        <v>47</v>
      </c>
      <c r="D22" s="60" t="s">
        <v>26</v>
      </c>
      <c r="E22" s="60" t="s">
        <v>28</v>
      </c>
      <c r="F22" s="60"/>
      <c r="G22" s="61"/>
      <c r="H22" s="47">
        <v>2</v>
      </c>
      <c r="I22" s="48">
        <v>2</v>
      </c>
      <c r="J22" s="48">
        <v>2</v>
      </c>
      <c r="K22" s="48">
        <v>2</v>
      </c>
      <c r="L22" s="52">
        <v>1</v>
      </c>
    </row>
    <row r="23" spans="1:12" ht="25" customHeight="1" x14ac:dyDescent="0.2">
      <c r="A23" s="57" t="s">
        <v>93</v>
      </c>
      <c r="B23" s="59">
        <v>50</v>
      </c>
      <c r="C23" s="60">
        <v>51</v>
      </c>
      <c r="D23" s="60" t="s">
        <v>26</v>
      </c>
      <c r="E23" s="60"/>
      <c r="F23" s="60"/>
      <c r="G23" s="61"/>
      <c r="H23" s="47">
        <v>2</v>
      </c>
      <c r="I23" s="48">
        <v>2</v>
      </c>
      <c r="J23" s="48">
        <v>2</v>
      </c>
      <c r="K23" s="48">
        <v>2</v>
      </c>
      <c r="L23" s="52">
        <v>2</v>
      </c>
    </row>
    <row r="24" spans="1:12" ht="25" customHeight="1" x14ac:dyDescent="0.2">
      <c r="A24" s="57" t="s">
        <v>38</v>
      </c>
      <c r="B24" s="59">
        <v>45</v>
      </c>
      <c r="C24" s="60">
        <v>48</v>
      </c>
      <c r="D24" s="60" t="s">
        <v>26</v>
      </c>
      <c r="E24" s="60" t="s">
        <v>27</v>
      </c>
      <c r="F24" s="60" t="s">
        <v>28</v>
      </c>
      <c r="G24" s="61"/>
      <c r="H24" s="47">
        <v>2</v>
      </c>
      <c r="I24" s="48">
        <v>2</v>
      </c>
      <c r="J24" s="48">
        <v>2</v>
      </c>
      <c r="K24" s="48">
        <v>2</v>
      </c>
      <c r="L24" s="52">
        <v>2</v>
      </c>
    </row>
    <row r="25" spans="1:12" ht="25" customHeight="1" x14ac:dyDescent="0.2">
      <c r="A25" s="57" t="s">
        <v>41</v>
      </c>
      <c r="B25" s="59">
        <v>42</v>
      </c>
      <c r="C25" s="60">
        <v>45</v>
      </c>
      <c r="D25" s="60" t="s">
        <v>26</v>
      </c>
      <c r="E25" s="60"/>
      <c r="F25" s="60"/>
      <c r="G25" s="61"/>
      <c r="H25" s="47">
        <v>2</v>
      </c>
      <c r="I25" s="48">
        <v>2</v>
      </c>
      <c r="J25" s="48">
        <v>2</v>
      </c>
      <c r="K25" s="48">
        <v>1</v>
      </c>
      <c r="L25" s="52">
        <v>1</v>
      </c>
    </row>
    <row r="26" spans="1:12" ht="25" customHeight="1" x14ac:dyDescent="0.2">
      <c r="A26" s="57" t="s">
        <v>42</v>
      </c>
      <c r="B26" s="59">
        <v>49</v>
      </c>
      <c r="C26" s="60">
        <v>54</v>
      </c>
      <c r="D26" s="60" t="s">
        <v>26</v>
      </c>
      <c r="E26" s="60"/>
      <c r="F26" s="60"/>
      <c r="G26" s="61"/>
      <c r="H26" s="47">
        <v>1</v>
      </c>
      <c r="I26" s="48">
        <v>2</v>
      </c>
      <c r="J26" s="48">
        <v>2</v>
      </c>
      <c r="K26" s="48">
        <v>1</v>
      </c>
      <c r="L26" s="52">
        <v>1</v>
      </c>
    </row>
    <row r="27" spans="1:12" ht="25" customHeight="1" x14ac:dyDescent="0.2">
      <c r="A27" s="57" t="s">
        <v>53</v>
      </c>
      <c r="B27" s="59">
        <v>43</v>
      </c>
      <c r="C27" s="60">
        <v>44</v>
      </c>
      <c r="D27" s="60" t="s">
        <v>26</v>
      </c>
      <c r="E27" s="60" t="s">
        <v>27</v>
      </c>
      <c r="F27" s="60" t="s">
        <v>28</v>
      </c>
      <c r="G27" s="61"/>
      <c r="H27" s="47">
        <v>1</v>
      </c>
      <c r="I27" s="48">
        <v>2</v>
      </c>
      <c r="J27" s="48">
        <v>2</v>
      </c>
      <c r="K27" s="48">
        <v>2</v>
      </c>
      <c r="L27" s="52">
        <v>1</v>
      </c>
    </row>
    <row r="28" spans="1:12" ht="25" customHeight="1" x14ac:dyDescent="0.2">
      <c r="A28" s="57" t="s">
        <v>62</v>
      </c>
      <c r="B28" s="59">
        <v>38</v>
      </c>
      <c r="C28" s="60">
        <v>40</v>
      </c>
      <c r="D28" s="60" t="s">
        <v>26</v>
      </c>
      <c r="E28" s="60"/>
      <c r="F28" s="60"/>
      <c r="G28" s="61"/>
      <c r="H28" s="47">
        <v>2</v>
      </c>
      <c r="I28" s="48">
        <v>2</v>
      </c>
      <c r="J28" s="48">
        <v>2</v>
      </c>
      <c r="K28" s="48">
        <v>2</v>
      </c>
      <c r="L28" s="52">
        <v>1</v>
      </c>
    </row>
    <row r="29" spans="1:12" ht="25" customHeight="1" x14ac:dyDescent="0.2">
      <c r="A29" s="57" t="s">
        <v>57</v>
      </c>
      <c r="B29" s="59">
        <v>46</v>
      </c>
      <c r="C29" s="60">
        <v>48</v>
      </c>
      <c r="D29" s="60" t="s">
        <v>26</v>
      </c>
      <c r="E29" s="60"/>
      <c r="F29" s="60"/>
      <c r="G29" s="61"/>
      <c r="H29" s="47">
        <v>2</v>
      </c>
      <c r="I29" s="48">
        <v>2</v>
      </c>
      <c r="J29" s="48">
        <v>2</v>
      </c>
      <c r="K29" s="48">
        <v>2</v>
      </c>
      <c r="L29" s="52">
        <v>2</v>
      </c>
    </row>
    <row r="30" spans="1:12" ht="25" customHeight="1" x14ac:dyDescent="0.2">
      <c r="A30" s="57" t="s">
        <v>56</v>
      </c>
      <c r="B30" s="59">
        <v>55</v>
      </c>
      <c r="C30" s="60">
        <v>56</v>
      </c>
      <c r="D30" s="60" t="s">
        <v>26</v>
      </c>
      <c r="E30" s="60"/>
      <c r="F30" s="60" t="s">
        <v>28</v>
      </c>
      <c r="G30" s="61" t="s">
        <v>31</v>
      </c>
      <c r="H30" s="47">
        <v>3</v>
      </c>
      <c r="I30" s="48">
        <v>3</v>
      </c>
      <c r="J30" s="48">
        <v>3</v>
      </c>
      <c r="K30" s="48">
        <v>3</v>
      </c>
      <c r="L30" s="52">
        <v>1</v>
      </c>
    </row>
    <row r="31" spans="1:12" ht="25" customHeight="1" x14ac:dyDescent="0.2">
      <c r="A31" s="57" t="s">
        <v>101</v>
      </c>
      <c r="B31" s="59">
        <v>47</v>
      </c>
      <c r="C31" s="60">
        <v>49</v>
      </c>
      <c r="D31" s="60" t="s">
        <v>26</v>
      </c>
      <c r="E31" s="60"/>
      <c r="F31" s="60"/>
      <c r="G31" s="61"/>
      <c r="H31" s="47">
        <v>2</v>
      </c>
      <c r="I31" s="48">
        <v>1</v>
      </c>
      <c r="J31" s="48">
        <v>2</v>
      </c>
      <c r="K31" s="48">
        <v>2</v>
      </c>
      <c r="L31" s="52">
        <v>3</v>
      </c>
    </row>
    <row r="32" spans="1:12" ht="25" customHeight="1" x14ac:dyDescent="0.2">
      <c r="A32" s="57" t="s">
        <v>91</v>
      </c>
      <c r="B32" s="59">
        <v>50</v>
      </c>
      <c r="C32" s="60">
        <v>52</v>
      </c>
      <c r="D32" s="60" t="s">
        <v>26</v>
      </c>
      <c r="E32" s="60" t="s">
        <v>28</v>
      </c>
      <c r="F32" s="60"/>
      <c r="G32" s="61"/>
      <c r="H32" s="47">
        <v>2</v>
      </c>
      <c r="I32" s="48">
        <v>2</v>
      </c>
      <c r="J32" s="48">
        <v>2</v>
      </c>
      <c r="K32" s="48">
        <v>3</v>
      </c>
      <c r="L32" s="52">
        <v>2</v>
      </c>
    </row>
    <row r="33" spans="1:12" ht="25" customHeight="1" x14ac:dyDescent="0.2">
      <c r="A33" s="57" t="s">
        <v>92</v>
      </c>
      <c r="B33" s="59">
        <v>50</v>
      </c>
      <c r="C33" s="60">
        <v>51</v>
      </c>
      <c r="D33" s="60" t="s">
        <v>26</v>
      </c>
      <c r="E33" s="60" t="s">
        <v>29</v>
      </c>
      <c r="F33" s="60" t="s">
        <v>28</v>
      </c>
      <c r="G33" s="61"/>
      <c r="H33" s="47">
        <v>2</v>
      </c>
      <c r="I33" s="48">
        <v>2</v>
      </c>
      <c r="J33" s="48">
        <v>2</v>
      </c>
      <c r="K33" s="48">
        <v>2</v>
      </c>
      <c r="L33" s="52">
        <v>2</v>
      </c>
    </row>
    <row r="34" spans="1:12" ht="25" customHeight="1" x14ac:dyDescent="0.2">
      <c r="A34" s="57" t="s">
        <v>52</v>
      </c>
      <c r="B34" s="59">
        <v>55</v>
      </c>
      <c r="C34" s="60">
        <v>57</v>
      </c>
      <c r="D34" s="60" t="s">
        <v>26</v>
      </c>
      <c r="E34" s="60" t="s">
        <v>29</v>
      </c>
      <c r="F34" s="60" t="s">
        <v>28</v>
      </c>
      <c r="G34" s="61"/>
      <c r="H34" s="47">
        <v>3</v>
      </c>
      <c r="I34" s="48">
        <v>3</v>
      </c>
      <c r="J34" s="48">
        <v>3</v>
      </c>
      <c r="K34" s="48">
        <v>3</v>
      </c>
      <c r="L34" s="52">
        <v>3</v>
      </c>
    </row>
    <row r="35" spans="1:12" ht="25" customHeight="1" x14ac:dyDescent="0.2">
      <c r="A35" s="57" t="s">
        <v>46</v>
      </c>
      <c r="B35" s="59">
        <v>41</v>
      </c>
      <c r="C35" s="60">
        <v>44</v>
      </c>
      <c r="D35" s="60" t="s">
        <v>26</v>
      </c>
      <c r="E35" s="60"/>
      <c r="F35" s="60"/>
      <c r="G35" s="61"/>
      <c r="H35" s="47">
        <v>1</v>
      </c>
      <c r="I35" s="48">
        <v>2</v>
      </c>
      <c r="J35" s="48">
        <v>2</v>
      </c>
      <c r="K35" s="48">
        <v>2</v>
      </c>
      <c r="L35" s="52">
        <v>1</v>
      </c>
    </row>
    <row r="36" spans="1:12" ht="25" customHeight="1" x14ac:dyDescent="0.2">
      <c r="A36" s="57" t="s">
        <v>74</v>
      </c>
      <c r="B36" s="59">
        <v>46</v>
      </c>
      <c r="C36" s="60">
        <v>49</v>
      </c>
      <c r="D36" s="60" t="s">
        <v>26</v>
      </c>
      <c r="E36" s="60" t="s">
        <v>28</v>
      </c>
      <c r="F36" s="60"/>
      <c r="G36" s="61"/>
      <c r="H36" s="47">
        <v>3</v>
      </c>
      <c r="I36" s="48">
        <v>2</v>
      </c>
      <c r="J36" s="48">
        <v>3</v>
      </c>
      <c r="K36" s="48">
        <v>2</v>
      </c>
      <c r="L36" s="52">
        <v>3</v>
      </c>
    </row>
    <row r="37" spans="1:12" ht="25" customHeight="1" x14ac:dyDescent="0.2">
      <c r="A37" s="57" t="s">
        <v>81</v>
      </c>
      <c r="B37" s="59">
        <v>45</v>
      </c>
      <c r="C37" s="60">
        <v>46</v>
      </c>
      <c r="D37" s="60" t="s">
        <v>26</v>
      </c>
      <c r="E37" s="60"/>
      <c r="F37" s="60"/>
      <c r="G37" s="61"/>
      <c r="H37" s="47">
        <v>1</v>
      </c>
      <c r="I37" s="48">
        <v>2</v>
      </c>
      <c r="J37" s="48">
        <v>2</v>
      </c>
      <c r="K37" s="48">
        <v>1</v>
      </c>
      <c r="L37" s="52">
        <v>2</v>
      </c>
    </row>
    <row r="38" spans="1:12" ht="25" customHeight="1" x14ac:dyDescent="0.2">
      <c r="A38" s="57" t="s">
        <v>58</v>
      </c>
      <c r="B38" s="59">
        <v>48</v>
      </c>
      <c r="C38" s="60">
        <v>51</v>
      </c>
      <c r="D38" s="60" t="s">
        <v>26</v>
      </c>
      <c r="E38" s="60"/>
      <c r="F38" s="60"/>
      <c r="G38" s="61"/>
      <c r="H38" s="47">
        <v>3</v>
      </c>
      <c r="I38" s="48">
        <v>2</v>
      </c>
      <c r="J38" s="48">
        <v>2</v>
      </c>
      <c r="K38" s="48">
        <v>2</v>
      </c>
      <c r="L38" s="52">
        <v>1</v>
      </c>
    </row>
    <row r="39" spans="1:12" ht="25" customHeight="1" x14ac:dyDescent="0.2">
      <c r="A39" s="57" t="s">
        <v>43</v>
      </c>
      <c r="B39" s="59">
        <v>48</v>
      </c>
      <c r="C39" s="60">
        <v>50</v>
      </c>
      <c r="D39" s="60" t="s">
        <v>26</v>
      </c>
      <c r="E39" s="60"/>
      <c r="F39" s="60"/>
      <c r="G39" s="61"/>
      <c r="H39" s="47">
        <v>2</v>
      </c>
      <c r="I39" s="48">
        <v>2</v>
      </c>
      <c r="J39" s="48">
        <v>2</v>
      </c>
      <c r="K39" s="48">
        <v>1</v>
      </c>
      <c r="L39" s="52">
        <v>1</v>
      </c>
    </row>
    <row r="40" spans="1:12" ht="25" customHeight="1" x14ac:dyDescent="0.2">
      <c r="A40" s="57" t="s">
        <v>55</v>
      </c>
      <c r="B40" s="59">
        <v>47</v>
      </c>
      <c r="C40" s="60">
        <v>48</v>
      </c>
      <c r="D40" s="60" t="s">
        <v>26</v>
      </c>
      <c r="E40" s="60"/>
      <c r="F40" s="60" t="s">
        <v>28</v>
      </c>
      <c r="G40" s="61"/>
      <c r="H40" s="47">
        <v>2</v>
      </c>
      <c r="I40" s="48">
        <v>2</v>
      </c>
      <c r="J40" s="48">
        <v>3</v>
      </c>
      <c r="K40" s="48">
        <v>3</v>
      </c>
      <c r="L40" s="52">
        <v>2</v>
      </c>
    </row>
    <row r="41" spans="1:12" ht="25" customHeight="1" x14ac:dyDescent="0.2">
      <c r="A41" s="57" t="s">
        <v>65</v>
      </c>
      <c r="B41" s="59">
        <v>52</v>
      </c>
      <c r="C41" s="60">
        <v>54</v>
      </c>
      <c r="D41" s="60" t="s">
        <v>26</v>
      </c>
      <c r="E41" s="60"/>
      <c r="F41" s="60"/>
      <c r="G41" s="61"/>
      <c r="H41" s="47">
        <v>2</v>
      </c>
      <c r="I41" s="48">
        <v>2</v>
      </c>
      <c r="J41" s="48">
        <v>2</v>
      </c>
      <c r="K41" s="48">
        <v>2</v>
      </c>
      <c r="L41" s="52">
        <v>3</v>
      </c>
    </row>
    <row r="42" spans="1:12" ht="25" customHeight="1" x14ac:dyDescent="0.2">
      <c r="A42" s="57" t="s">
        <v>51</v>
      </c>
      <c r="B42" s="59">
        <v>53</v>
      </c>
      <c r="C42" s="60">
        <v>55</v>
      </c>
      <c r="D42" s="60" t="s">
        <v>26</v>
      </c>
      <c r="E42" s="60"/>
      <c r="F42" s="60" t="s">
        <v>28</v>
      </c>
      <c r="G42" s="61"/>
      <c r="H42" s="47">
        <v>3</v>
      </c>
      <c r="I42" s="48">
        <v>2</v>
      </c>
      <c r="J42" s="48">
        <v>3</v>
      </c>
      <c r="K42" s="48">
        <v>2</v>
      </c>
      <c r="L42" s="52">
        <v>2</v>
      </c>
    </row>
    <row r="43" spans="1:12" ht="25" customHeight="1" x14ac:dyDescent="0.2">
      <c r="A43" s="57" t="s">
        <v>89</v>
      </c>
      <c r="B43" s="59">
        <v>50</v>
      </c>
      <c r="C43" s="60">
        <v>54</v>
      </c>
      <c r="D43" s="60" t="s">
        <v>26</v>
      </c>
      <c r="E43" s="60" t="s">
        <v>28</v>
      </c>
      <c r="F43" s="60" t="s">
        <v>31</v>
      </c>
      <c r="G43" s="61"/>
      <c r="H43" s="47">
        <v>2</v>
      </c>
      <c r="I43" s="48">
        <v>2</v>
      </c>
      <c r="J43" s="48">
        <v>1</v>
      </c>
      <c r="K43" s="48">
        <v>2</v>
      </c>
      <c r="L43" s="52">
        <v>2</v>
      </c>
    </row>
    <row r="44" spans="1:12" ht="25" customHeight="1" x14ac:dyDescent="0.2">
      <c r="A44" s="57" t="s">
        <v>68</v>
      </c>
      <c r="B44" s="59">
        <v>45</v>
      </c>
      <c r="C44" s="60">
        <v>48</v>
      </c>
      <c r="D44" s="60" t="s">
        <v>26</v>
      </c>
      <c r="E44" s="60" t="s">
        <v>34</v>
      </c>
      <c r="F44" s="60"/>
      <c r="G44" s="61"/>
      <c r="H44" s="47">
        <v>2</v>
      </c>
      <c r="I44" s="48">
        <v>1</v>
      </c>
      <c r="J44" s="48">
        <v>2</v>
      </c>
      <c r="K44" s="48">
        <v>1</v>
      </c>
      <c r="L44" s="52">
        <v>1</v>
      </c>
    </row>
    <row r="45" spans="1:12" ht="25" customHeight="1" x14ac:dyDescent="0.2">
      <c r="A45" s="57" t="s">
        <v>96</v>
      </c>
      <c r="B45" s="59">
        <v>56</v>
      </c>
      <c r="C45" s="60">
        <v>58</v>
      </c>
      <c r="D45" s="60" t="s">
        <v>26</v>
      </c>
      <c r="E45" s="60" t="s">
        <v>36</v>
      </c>
      <c r="F45" s="60" t="s">
        <v>31</v>
      </c>
      <c r="G45" s="61"/>
      <c r="H45" s="47">
        <v>3</v>
      </c>
      <c r="I45" s="48">
        <v>2</v>
      </c>
      <c r="J45" s="48">
        <v>3</v>
      </c>
      <c r="K45" s="48">
        <v>2</v>
      </c>
      <c r="L45" s="52">
        <v>3</v>
      </c>
    </row>
    <row r="46" spans="1:12" ht="25" customHeight="1" x14ac:dyDescent="0.2">
      <c r="A46" s="57" t="s">
        <v>54</v>
      </c>
      <c r="B46" s="59">
        <v>39</v>
      </c>
      <c r="C46" s="60">
        <v>41</v>
      </c>
      <c r="D46" s="60" t="s">
        <v>26</v>
      </c>
      <c r="E46" s="60"/>
      <c r="F46" s="60"/>
      <c r="G46" s="61"/>
      <c r="H46" s="47">
        <v>1</v>
      </c>
      <c r="I46" s="48">
        <v>1</v>
      </c>
      <c r="J46" s="48">
        <v>2</v>
      </c>
      <c r="K46" s="48">
        <v>2</v>
      </c>
      <c r="L46" s="52">
        <v>1</v>
      </c>
    </row>
    <row r="47" spans="1:12" ht="25" customHeight="1" x14ac:dyDescent="0.2">
      <c r="A47" s="57" t="s">
        <v>114</v>
      </c>
      <c r="B47" s="59">
        <v>51</v>
      </c>
      <c r="C47" s="60">
        <v>52</v>
      </c>
      <c r="D47" s="60" t="s">
        <v>26</v>
      </c>
      <c r="E47" s="60"/>
      <c r="F47" s="60"/>
      <c r="G47" s="61"/>
      <c r="H47" s="47">
        <v>3</v>
      </c>
      <c r="I47" s="48">
        <v>2</v>
      </c>
      <c r="J47" s="48">
        <v>3</v>
      </c>
      <c r="K47" s="48">
        <v>2</v>
      </c>
      <c r="L47" s="52">
        <v>2</v>
      </c>
    </row>
    <row r="48" spans="1:12" ht="25" customHeight="1" x14ac:dyDescent="0.2">
      <c r="A48" s="57" t="s">
        <v>82</v>
      </c>
      <c r="B48" s="59">
        <v>25</v>
      </c>
      <c r="C48" s="60">
        <v>32</v>
      </c>
      <c r="D48" s="60" t="s">
        <v>26</v>
      </c>
      <c r="E48" s="60"/>
      <c r="F48" s="60"/>
      <c r="G48" s="61"/>
      <c r="H48" s="47">
        <v>1</v>
      </c>
      <c r="I48" s="48">
        <v>1</v>
      </c>
      <c r="J48" s="48">
        <v>1</v>
      </c>
      <c r="K48" s="48">
        <v>1</v>
      </c>
      <c r="L48" s="52">
        <v>1</v>
      </c>
    </row>
    <row r="49" spans="1:12" ht="25" customHeight="1" x14ac:dyDescent="0.2">
      <c r="A49" s="57" t="s">
        <v>113</v>
      </c>
      <c r="B49" s="59">
        <v>44</v>
      </c>
      <c r="C49" s="60">
        <v>46</v>
      </c>
      <c r="D49" s="60" t="s">
        <v>26</v>
      </c>
      <c r="E49" s="60"/>
      <c r="F49" s="60"/>
      <c r="G49" s="61"/>
      <c r="H49" s="47">
        <v>2</v>
      </c>
      <c r="I49" s="48">
        <v>1</v>
      </c>
      <c r="J49" s="48">
        <v>2</v>
      </c>
      <c r="K49" s="48">
        <v>1</v>
      </c>
      <c r="L49" s="52">
        <v>1</v>
      </c>
    </row>
    <row r="50" spans="1:12" ht="25" customHeight="1" x14ac:dyDescent="0.2">
      <c r="A50" s="57" t="s">
        <v>50</v>
      </c>
      <c r="B50" s="59">
        <v>46</v>
      </c>
      <c r="C50" s="60">
        <v>49</v>
      </c>
      <c r="D50" s="60" t="s">
        <v>26</v>
      </c>
      <c r="E50" s="60"/>
      <c r="F50" s="60"/>
      <c r="G50" s="61"/>
      <c r="H50" s="47">
        <v>2</v>
      </c>
      <c r="I50" s="48">
        <v>2</v>
      </c>
      <c r="J50" s="48">
        <v>2</v>
      </c>
      <c r="K50" s="48">
        <v>2</v>
      </c>
      <c r="L50" s="52">
        <v>2</v>
      </c>
    </row>
    <row r="51" spans="1:12" ht="25" customHeight="1" x14ac:dyDescent="0.2">
      <c r="A51" s="57" t="s">
        <v>64</v>
      </c>
      <c r="B51" s="59">
        <v>41</v>
      </c>
      <c r="C51" s="60">
        <v>45</v>
      </c>
      <c r="D51" s="60" t="s">
        <v>26</v>
      </c>
      <c r="E51" s="60"/>
      <c r="F51" s="60"/>
      <c r="G51" s="61"/>
      <c r="H51" s="47">
        <v>2</v>
      </c>
      <c r="I51" s="48">
        <v>1</v>
      </c>
      <c r="J51" s="48">
        <v>2</v>
      </c>
      <c r="K51" s="48">
        <v>1</v>
      </c>
      <c r="L51" s="52">
        <v>1</v>
      </c>
    </row>
    <row r="52" spans="1:12" ht="25" customHeight="1" x14ac:dyDescent="0.2">
      <c r="A52" s="57" t="s">
        <v>85</v>
      </c>
      <c r="B52" s="59">
        <v>51</v>
      </c>
      <c r="C52" s="60">
        <v>52</v>
      </c>
      <c r="D52" s="60" t="s">
        <v>26</v>
      </c>
      <c r="E52" s="60" t="s">
        <v>28</v>
      </c>
      <c r="F52" s="60"/>
      <c r="G52" s="61"/>
      <c r="H52" s="47">
        <v>2</v>
      </c>
      <c r="I52" s="48">
        <v>1</v>
      </c>
      <c r="J52" s="48">
        <v>2</v>
      </c>
      <c r="K52" s="48">
        <v>2</v>
      </c>
      <c r="L52" s="52">
        <v>2</v>
      </c>
    </row>
    <row r="53" spans="1:12" ht="25" customHeight="1" x14ac:dyDescent="0.2">
      <c r="A53" s="57" t="s">
        <v>107</v>
      </c>
      <c r="B53" s="59">
        <v>54</v>
      </c>
      <c r="C53" s="60">
        <v>55</v>
      </c>
      <c r="D53" s="60"/>
      <c r="E53" s="60"/>
      <c r="F53" s="60"/>
      <c r="G53" s="61"/>
      <c r="H53" s="47">
        <v>2</v>
      </c>
      <c r="I53" s="48">
        <v>1</v>
      </c>
      <c r="J53" s="48">
        <v>2</v>
      </c>
      <c r="K53" s="48">
        <v>2</v>
      </c>
      <c r="L53" s="52">
        <v>3</v>
      </c>
    </row>
    <row r="54" spans="1:12" ht="25" customHeight="1" x14ac:dyDescent="0.2">
      <c r="A54" s="57" t="s">
        <v>84</v>
      </c>
      <c r="B54" s="59">
        <v>53</v>
      </c>
      <c r="C54" s="60">
        <v>55</v>
      </c>
      <c r="D54" s="60" t="s">
        <v>26</v>
      </c>
      <c r="E54" s="60" t="s">
        <v>31</v>
      </c>
      <c r="F54" s="60"/>
      <c r="G54" s="61"/>
      <c r="H54" s="47">
        <v>2</v>
      </c>
      <c r="I54" s="48">
        <v>2</v>
      </c>
      <c r="J54" s="48">
        <v>2</v>
      </c>
      <c r="K54" s="48">
        <v>1</v>
      </c>
      <c r="L54" s="52">
        <v>2</v>
      </c>
    </row>
    <row r="55" spans="1:12" ht="25" customHeight="1" x14ac:dyDescent="0.2">
      <c r="A55" s="57" t="s">
        <v>67</v>
      </c>
      <c r="B55" s="59">
        <v>52</v>
      </c>
      <c r="C55" s="60">
        <v>55</v>
      </c>
      <c r="D55" s="60" t="s">
        <v>26</v>
      </c>
      <c r="E55" s="60" t="s">
        <v>28</v>
      </c>
      <c r="F55" s="60"/>
      <c r="G55" s="61"/>
      <c r="H55" s="47">
        <v>2</v>
      </c>
      <c r="I55" s="48">
        <v>2</v>
      </c>
      <c r="J55" s="48">
        <v>3</v>
      </c>
      <c r="K55" s="48">
        <v>2</v>
      </c>
      <c r="L55" s="52">
        <v>2</v>
      </c>
    </row>
    <row r="56" spans="1:12" ht="25" customHeight="1" x14ac:dyDescent="0.2">
      <c r="A56" s="57" t="s">
        <v>77</v>
      </c>
      <c r="B56" s="59">
        <v>60</v>
      </c>
      <c r="C56" s="60">
        <v>61</v>
      </c>
      <c r="D56" s="60" t="s">
        <v>26</v>
      </c>
      <c r="E56" s="60" t="s">
        <v>31</v>
      </c>
      <c r="F56" s="60"/>
      <c r="G56" s="61"/>
      <c r="H56" s="47">
        <v>3</v>
      </c>
      <c r="I56" s="48">
        <v>2</v>
      </c>
      <c r="J56" s="48">
        <v>3</v>
      </c>
      <c r="K56" s="48">
        <v>3</v>
      </c>
      <c r="L56" s="52">
        <v>3</v>
      </c>
    </row>
    <row r="57" spans="1:12" ht="25" customHeight="1" x14ac:dyDescent="0.2">
      <c r="A57" s="57" t="s">
        <v>87</v>
      </c>
      <c r="B57" s="59">
        <v>45</v>
      </c>
      <c r="C57" s="60">
        <v>46</v>
      </c>
      <c r="D57" s="60" t="s">
        <v>26</v>
      </c>
      <c r="E57" s="60"/>
      <c r="F57" s="60"/>
      <c r="G57" s="61"/>
      <c r="H57" s="47">
        <v>2</v>
      </c>
      <c r="I57" s="48">
        <v>1</v>
      </c>
      <c r="J57" s="48">
        <v>2</v>
      </c>
      <c r="K57" s="48">
        <v>1</v>
      </c>
      <c r="L57" s="52">
        <v>2</v>
      </c>
    </row>
    <row r="58" spans="1:12" ht="25" customHeight="1" x14ac:dyDescent="0.2">
      <c r="A58" s="57" t="s">
        <v>102</v>
      </c>
      <c r="B58" s="59">
        <v>59</v>
      </c>
      <c r="C58" s="60">
        <v>60</v>
      </c>
      <c r="D58" s="60" t="s">
        <v>26</v>
      </c>
      <c r="E58" s="60" t="s">
        <v>28</v>
      </c>
      <c r="F58" s="60" t="s">
        <v>29</v>
      </c>
      <c r="G58" s="61"/>
      <c r="H58" s="47">
        <v>3</v>
      </c>
      <c r="I58" s="48">
        <v>3</v>
      </c>
      <c r="J58" s="48">
        <v>2</v>
      </c>
      <c r="K58" s="48">
        <v>2</v>
      </c>
      <c r="L58" s="52">
        <v>3</v>
      </c>
    </row>
    <row r="59" spans="1:12" ht="25" customHeight="1" x14ac:dyDescent="0.2">
      <c r="A59" s="57" t="s">
        <v>75</v>
      </c>
      <c r="B59" s="59">
        <v>48</v>
      </c>
      <c r="C59" s="60">
        <v>49</v>
      </c>
      <c r="D59" s="60" t="s">
        <v>26</v>
      </c>
      <c r="E59" s="60" t="s">
        <v>28</v>
      </c>
      <c r="F59" s="60"/>
      <c r="G59" s="61"/>
      <c r="H59" s="47">
        <v>2</v>
      </c>
      <c r="I59" s="48">
        <v>2</v>
      </c>
      <c r="J59" s="48">
        <v>2</v>
      </c>
      <c r="K59" s="48">
        <v>2</v>
      </c>
      <c r="L59" s="52">
        <v>3</v>
      </c>
    </row>
    <row r="60" spans="1:12" ht="25" customHeight="1" x14ac:dyDescent="0.2">
      <c r="A60" s="57" t="s">
        <v>72</v>
      </c>
      <c r="B60" s="59">
        <v>52</v>
      </c>
      <c r="C60" s="60">
        <v>54</v>
      </c>
      <c r="D60" s="60" t="s">
        <v>26</v>
      </c>
      <c r="E60" s="60" t="s">
        <v>28</v>
      </c>
      <c r="F60" s="60"/>
      <c r="G60" s="61"/>
      <c r="H60" s="47">
        <v>2</v>
      </c>
      <c r="I60" s="48">
        <v>1</v>
      </c>
      <c r="J60" s="48">
        <v>2</v>
      </c>
      <c r="K60" s="48">
        <v>2</v>
      </c>
      <c r="L60" s="52">
        <v>2</v>
      </c>
    </row>
    <row r="61" spans="1:12" ht="25" customHeight="1" x14ac:dyDescent="0.2">
      <c r="A61" s="57" t="s">
        <v>110</v>
      </c>
      <c r="B61" s="59">
        <v>54</v>
      </c>
      <c r="C61" s="60">
        <v>55</v>
      </c>
      <c r="D61" s="60" t="s">
        <v>26</v>
      </c>
      <c r="E61" s="60" t="s">
        <v>35</v>
      </c>
      <c r="F61" s="60" t="s">
        <v>37</v>
      </c>
      <c r="G61" s="61"/>
      <c r="H61" s="47">
        <v>2</v>
      </c>
      <c r="I61" s="48">
        <v>2</v>
      </c>
      <c r="J61" s="48">
        <v>2</v>
      </c>
      <c r="K61" s="48">
        <v>2</v>
      </c>
      <c r="L61" s="52">
        <v>3</v>
      </c>
    </row>
    <row r="62" spans="1:12" ht="25" customHeight="1" x14ac:dyDescent="0.2">
      <c r="A62" s="57" t="s">
        <v>73</v>
      </c>
      <c r="B62" s="59">
        <v>46</v>
      </c>
      <c r="C62" s="60">
        <v>47</v>
      </c>
      <c r="D62" s="60" t="s">
        <v>26</v>
      </c>
      <c r="E62" s="60" t="s">
        <v>28</v>
      </c>
      <c r="F62" s="60"/>
      <c r="G62" s="61"/>
      <c r="H62" s="47">
        <v>2</v>
      </c>
      <c r="I62" s="48">
        <v>1</v>
      </c>
      <c r="J62" s="48">
        <v>2</v>
      </c>
      <c r="K62" s="48">
        <v>1</v>
      </c>
      <c r="L62" s="52">
        <v>2</v>
      </c>
    </row>
    <row r="63" spans="1:12" ht="25" customHeight="1" x14ac:dyDescent="0.2">
      <c r="A63" s="57" t="s">
        <v>45</v>
      </c>
      <c r="B63" s="59">
        <v>46</v>
      </c>
      <c r="C63" s="60">
        <v>49</v>
      </c>
      <c r="D63" s="60" t="s">
        <v>26</v>
      </c>
      <c r="E63" s="60"/>
      <c r="F63" s="60"/>
      <c r="G63" s="61"/>
      <c r="H63" s="47">
        <v>1</v>
      </c>
      <c r="I63" s="48">
        <v>1</v>
      </c>
      <c r="J63" s="48">
        <v>2</v>
      </c>
      <c r="K63" s="48">
        <v>1</v>
      </c>
      <c r="L63" s="52">
        <v>1</v>
      </c>
    </row>
    <row r="64" spans="1:12" ht="25" customHeight="1" x14ac:dyDescent="0.2">
      <c r="A64" s="57" t="s">
        <v>79</v>
      </c>
      <c r="B64" s="59">
        <v>50</v>
      </c>
      <c r="C64" s="60">
        <v>52</v>
      </c>
      <c r="D64" s="60" t="s">
        <v>26</v>
      </c>
      <c r="E64" s="60" t="s">
        <v>28</v>
      </c>
      <c r="F64" s="60"/>
      <c r="G64" s="61"/>
      <c r="H64" s="47">
        <v>2</v>
      </c>
      <c r="I64" s="48">
        <v>1</v>
      </c>
      <c r="J64" s="48">
        <v>2</v>
      </c>
      <c r="K64" s="48">
        <v>1</v>
      </c>
      <c r="L64" s="52">
        <v>2</v>
      </c>
    </row>
    <row r="65" spans="1:12" ht="25" customHeight="1" x14ac:dyDescent="0.2">
      <c r="A65" s="57" t="s">
        <v>88</v>
      </c>
      <c r="B65" s="59">
        <v>47</v>
      </c>
      <c r="C65" s="60">
        <v>50</v>
      </c>
      <c r="D65" s="60" t="s">
        <v>26</v>
      </c>
      <c r="E65" s="60"/>
      <c r="F65" s="60"/>
      <c r="G65" s="61"/>
      <c r="H65" s="47">
        <v>1</v>
      </c>
      <c r="I65" s="48">
        <v>1</v>
      </c>
      <c r="J65" s="48">
        <v>2</v>
      </c>
      <c r="K65" s="48">
        <v>1</v>
      </c>
      <c r="L65" s="52">
        <v>1</v>
      </c>
    </row>
    <row r="66" spans="1:12" ht="25" customHeight="1" x14ac:dyDescent="0.2">
      <c r="A66" s="57" t="s">
        <v>95</v>
      </c>
      <c r="B66" s="59">
        <v>52</v>
      </c>
      <c r="C66" s="60">
        <v>55</v>
      </c>
      <c r="D66" s="60" t="s">
        <v>26</v>
      </c>
      <c r="E66" s="60" t="s">
        <v>31</v>
      </c>
      <c r="F66" s="60" t="s">
        <v>29</v>
      </c>
      <c r="G66" s="61"/>
      <c r="H66" s="47">
        <v>3</v>
      </c>
      <c r="I66" s="48">
        <v>2</v>
      </c>
      <c r="J66" s="48">
        <v>3</v>
      </c>
      <c r="K66" s="48">
        <v>2</v>
      </c>
      <c r="L66" s="52">
        <v>2</v>
      </c>
    </row>
    <row r="67" spans="1:12" ht="25" customHeight="1" x14ac:dyDescent="0.2">
      <c r="A67" s="57" t="s">
        <v>105</v>
      </c>
      <c r="B67" s="59">
        <v>45</v>
      </c>
      <c r="C67" s="60">
        <v>46</v>
      </c>
      <c r="D67" s="60" t="s">
        <v>26</v>
      </c>
      <c r="E67" s="60"/>
      <c r="F67" s="60"/>
      <c r="G67" s="61"/>
      <c r="H67" s="47">
        <v>1</v>
      </c>
      <c r="I67" s="48">
        <v>1</v>
      </c>
      <c r="J67" s="48">
        <v>2</v>
      </c>
      <c r="K67" s="48">
        <v>1</v>
      </c>
      <c r="L67" s="52">
        <v>1</v>
      </c>
    </row>
    <row r="68" spans="1:12" ht="25" customHeight="1" x14ac:dyDescent="0.2">
      <c r="A68" s="57" t="s">
        <v>80</v>
      </c>
      <c r="B68" s="59">
        <v>54</v>
      </c>
      <c r="C68" s="60">
        <v>55</v>
      </c>
      <c r="D68" s="60" t="s">
        <v>26</v>
      </c>
      <c r="E68" s="60" t="s">
        <v>28</v>
      </c>
      <c r="F68" s="60"/>
      <c r="G68" s="61"/>
      <c r="H68" s="47">
        <v>3</v>
      </c>
      <c r="I68" s="48">
        <v>3</v>
      </c>
      <c r="J68" s="48">
        <v>3</v>
      </c>
      <c r="K68" s="48">
        <v>2</v>
      </c>
      <c r="L68" s="52">
        <v>3</v>
      </c>
    </row>
    <row r="69" spans="1:12" ht="25" customHeight="1" x14ac:dyDescent="0.2">
      <c r="A69" s="57" t="s">
        <v>49</v>
      </c>
      <c r="B69" s="59">
        <v>42</v>
      </c>
      <c r="C69" s="60">
        <v>46</v>
      </c>
      <c r="D69" s="60" t="s">
        <v>26</v>
      </c>
      <c r="E69" s="60"/>
      <c r="F69" s="60"/>
      <c r="G69" s="61"/>
      <c r="H69" s="47">
        <v>1</v>
      </c>
      <c r="I69" s="48">
        <v>2</v>
      </c>
      <c r="J69" s="48">
        <v>1</v>
      </c>
      <c r="K69" s="48">
        <v>1</v>
      </c>
      <c r="L69" s="52">
        <v>1</v>
      </c>
    </row>
    <row r="70" spans="1:12" ht="25" customHeight="1" x14ac:dyDescent="0.2">
      <c r="A70" s="57" t="s">
        <v>106</v>
      </c>
      <c r="B70" s="59">
        <v>50</v>
      </c>
      <c r="C70" s="60">
        <v>51</v>
      </c>
      <c r="D70" s="60" t="s">
        <v>26</v>
      </c>
      <c r="E70" s="60"/>
      <c r="F70" s="60"/>
      <c r="G70" s="61"/>
      <c r="H70" s="47">
        <v>2</v>
      </c>
      <c r="I70" s="48">
        <v>2</v>
      </c>
      <c r="J70" s="48">
        <v>2</v>
      </c>
      <c r="K70" s="48">
        <v>2</v>
      </c>
      <c r="L70" s="52">
        <v>1</v>
      </c>
    </row>
    <row r="71" spans="1:12" ht="25" customHeight="1" x14ac:dyDescent="0.2">
      <c r="A71" s="57" t="s">
        <v>90</v>
      </c>
      <c r="B71" s="59">
        <v>62</v>
      </c>
      <c r="C71" s="60">
        <v>64</v>
      </c>
      <c r="D71" s="60" t="s">
        <v>26</v>
      </c>
      <c r="E71" s="60" t="s">
        <v>28</v>
      </c>
      <c r="F71" s="60" t="s">
        <v>35</v>
      </c>
      <c r="G71" s="61"/>
      <c r="H71" s="47">
        <v>3</v>
      </c>
      <c r="I71" s="48">
        <v>3</v>
      </c>
      <c r="J71" s="48">
        <v>3</v>
      </c>
      <c r="K71" s="48">
        <v>2</v>
      </c>
      <c r="L71" s="52">
        <v>2</v>
      </c>
    </row>
    <row r="72" spans="1:12" ht="25" customHeight="1" x14ac:dyDescent="0.2">
      <c r="A72" s="57" t="s">
        <v>103</v>
      </c>
      <c r="B72" s="59">
        <v>46</v>
      </c>
      <c r="C72" s="60">
        <v>50</v>
      </c>
      <c r="D72" s="60" t="s">
        <v>26</v>
      </c>
      <c r="E72" s="60"/>
      <c r="F72" s="60"/>
      <c r="G72" s="61"/>
      <c r="H72" s="47">
        <v>1</v>
      </c>
      <c r="I72" s="48">
        <v>1</v>
      </c>
      <c r="J72" s="48">
        <v>2</v>
      </c>
      <c r="K72" s="48">
        <v>1</v>
      </c>
      <c r="L72" s="52">
        <v>2</v>
      </c>
    </row>
    <row r="73" spans="1:12" ht="25" customHeight="1" x14ac:dyDescent="0.2">
      <c r="A73" s="57" t="s">
        <v>61</v>
      </c>
      <c r="B73" s="59">
        <v>46</v>
      </c>
      <c r="C73" s="60">
        <v>48</v>
      </c>
      <c r="D73" s="60" t="s">
        <v>26</v>
      </c>
      <c r="E73" s="60"/>
      <c r="F73" s="60"/>
      <c r="G73" s="61"/>
      <c r="H73" s="47">
        <v>1</v>
      </c>
      <c r="I73" s="48">
        <v>1</v>
      </c>
      <c r="J73" s="48">
        <v>2</v>
      </c>
      <c r="K73" s="48">
        <v>2</v>
      </c>
      <c r="L73" s="52">
        <v>1</v>
      </c>
    </row>
    <row r="74" spans="1:12" ht="25" customHeight="1" x14ac:dyDescent="0.2">
      <c r="A74" s="57" t="s">
        <v>48</v>
      </c>
      <c r="B74" s="59">
        <v>31</v>
      </c>
      <c r="C74" s="60">
        <v>33</v>
      </c>
      <c r="D74" s="60" t="s">
        <v>26</v>
      </c>
      <c r="E74" s="60"/>
      <c r="F74" s="60" t="s">
        <v>28</v>
      </c>
      <c r="G74" s="61"/>
      <c r="H74" s="47">
        <v>1</v>
      </c>
      <c r="I74" s="48">
        <v>1</v>
      </c>
      <c r="J74" s="48">
        <v>1</v>
      </c>
      <c r="K74" s="48">
        <v>1</v>
      </c>
      <c r="L74" s="52">
        <v>1</v>
      </c>
    </row>
    <row r="75" spans="1:12" ht="25" customHeight="1" thickBot="1" x14ac:dyDescent="0.25">
      <c r="A75" s="57" t="s">
        <v>104</v>
      </c>
      <c r="B75" s="65">
        <v>47</v>
      </c>
      <c r="C75" s="66">
        <v>48</v>
      </c>
      <c r="D75" s="66" t="s">
        <v>26</v>
      </c>
      <c r="E75" s="66"/>
      <c r="F75" s="66"/>
      <c r="G75" s="67"/>
      <c r="H75" s="53">
        <v>2</v>
      </c>
      <c r="I75" s="54">
        <v>2</v>
      </c>
      <c r="J75" s="54">
        <v>1</v>
      </c>
      <c r="K75" s="54">
        <v>2</v>
      </c>
      <c r="L75" s="58">
        <v>2</v>
      </c>
    </row>
  </sheetData>
  <sheetProtection algorithmName="SHA-512" hashValue="C9Vu5eVJMyt28mTzrOuQHaj4TXZoAh4XcifvoMa/MtFRpjQPzP9i8UVeYNsMoqeqJSa6eSxKbfZ3D0V7Kc7F7Q==" saltValue="Ys+TUPf7TqRJbZwZLACy1Q==" spinCount="100000" sheet="1" objects="1" scenarios="1"/>
  <mergeCells count="2">
    <mergeCell ref="B1:G1"/>
    <mergeCell ref="H1:J1"/>
  </mergeCells>
  <phoneticPr fontId="4" type="noConversion"/>
  <pageMargins left="0.7" right="0.7" top="0.75" bottom="0.75" header="0.3" footer="0.3"/>
  <pageSetup scale="21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</vt:lpstr>
      <vt:lpstr>Pitcher Ranking </vt:lpstr>
      <vt:lpstr>Assessment Data</vt:lpstr>
      <vt:lpstr>Pitching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Hodge, Mitch</dc:creator>
  <cp:lastModifiedBy>Hodge, Mitch</cp:lastModifiedBy>
  <dcterms:created xsi:type="dcterms:W3CDTF">2026-03-09T22:55:56Z</dcterms:created>
  <dcterms:modified xsi:type="dcterms:W3CDTF">2026-03-10T01:48:40Z</dcterms:modified>
</cp:coreProperties>
</file>